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em\Downloads\"/>
    </mc:Choice>
  </mc:AlternateContent>
  <xr:revisionPtr revIDLastSave="0" documentId="13_ncr:1_{5D87B10E-3B53-4633-BACB-17DEF4EF039A}" xr6:coauthVersionLast="47" xr6:coauthVersionMax="47" xr10:uidLastSave="{00000000-0000-0000-0000-000000000000}"/>
  <bookViews>
    <workbookView xWindow="-108" yWindow="-108" windowWidth="23256" windowHeight="12456" firstSheet="2" activeTab="8" xr2:uid="{00000000-000D-0000-FFFF-FFFF00000000}"/>
  </bookViews>
  <sheets>
    <sheet name="Sheet2" sheetId="3" r:id="rId1"/>
    <sheet name="Sheet3" sheetId="4" r:id="rId2"/>
    <sheet name="Sheet4" sheetId="5" r:id="rId3"/>
    <sheet name="Sheet5" sheetId="6" r:id="rId4"/>
    <sheet name="Sheet6" sheetId="7" r:id="rId5"/>
    <sheet name="Sheet7" sheetId="9" r:id="rId6"/>
    <sheet name="Sheet1" sheetId="10" r:id="rId7"/>
    <sheet name="AmazonSales" sheetId="1" r:id="rId8"/>
    <sheet name="Dashboard" sheetId="2" r:id="rId9"/>
  </sheets>
  <definedNames>
    <definedName name="Slicer_Category">#N/A</definedName>
    <definedName name="Slicer_Region">#N/A</definedName>
    <definedName name="Slicer_Ship_Mod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J5" i="2"/>
  <c r="F5" i="2"/>
  <c r="B5" i="2"/>
</calcChain>
</file>

<file path=xl/sharedStrings.xml><?xml version="1.0" encoding="utf-8"?>
<sst xmlns="http://schemas.openxmlformats.org/spreadsheetml/2006/main" count="11238" uniqueCount="1452">
  <si>
    <t>Order ID</t>
  </si>
  <si>
    <t>Order Date</t>
  </si>
  <si>
    <t>Ship Date</t>
  </si>
  <si>
    <t>Customer Name</t>
  </si>
  <si>
    <t>Product Name</t>
  </si>
  <si>
    <t>Category</t>
  </si>
  <si>
    <t>Sub-Category</t>
  </si>
  <si>
    <t>Region</t>
  </si>
  <si>
    <t>State</t>
  </si>
  <si>
    <t>City</t>
  </si>
  <si>
    <t>Ship Mode</t>
  </si>
  <si>
    <t>Quantity</t>
  </si>
  <si>
    <t>Sales</t>
  </si>
  <si>
    <t>Discount</t>
  </si>
  <si>
    <t>Profit</t>
  </si>
  <si>
    <t>AMZ10002</t>
  </si>
  <si>
    <t>2025-11-04</t>
  </si>
  <si>
    <t>2025-11-11</t>
  </si>
  <si>
    <t>Mehul</t>
  </si>
  <si>
    <t>Laptop</t>
  </si>
  <si>
    <t>Electronics</t>
  </si>
  <si>
    <t>Computers</t>
  </si>
  <si>
    <t>East</t>
  </si>
  <si>
    <t>Odisha</t>
  </si>
  <si>
    <t>Bhubaneswar</t>
  </si>
  <si>
    <t>Second Class</t>
  </si>
  <si>
    <t>AMZ10003</t>
  </si>
  <si>
    <t>2025-04-30</t>
  </si>
  <si>
    <t>2025-05-05</t>
  </si>
  <si>
    <t>Rahul</t>
  </si>
  <si>
    <t>Office Chair</t>
  </si>
  <si>
    <t>Furniture</t>
  </si>
  <si>
    <t>Chairs</t>
  </si>
  <si>
    <t>West</t>
  </si>
  <si>
    <t>Gujarat</t>
  </si>
  <si>
    <t>Surat</t>
  </si>
  <si>
    <t>AMZ10004</t>
  </si>
  <si>
    <t>2025-02-03</t>
  </si>
  <si>
    <t>2025-02-04</t>
  </si>
  <si>
    <t>Sneha</t>
  </si>
  <si>
    <t>South</t>
  </si>
  <si>
    <t>Karnataka</t>
  </si>
  <si>
    <t>Bengaluru</t>
  </si>
  <si>
    <t>Same Day</t>
  </si>
  <si>
    <t>AMZ10005</t>
  </si>
  <si>
    <t>2025-04-02</t>
  </si>
  <si>
    <t>2025-04-05</t>
  </si>
  <si>
    <t>Amit</t>
  </si>
  <si>
    <t>Keyboard</t>
  </si>
  <si>
    <t>Accessories</t>
  </si>
  <si>
    <t>Tamil Nadu</t>
  </si>
  <si>
    <t>Chennai</t>
  </si>
  <si>
    <t>AMZ10006</t>
  </si>
  <si>
    <t>2025-09-10</t>
  </si>
  <si>
    <t>2025-09-12</t>
  </si>
  <si>
    <t>Karan</t>
  </si>
  <si>
    <t>Notebook Pack</t>
  </si>
  <si>
    <t>Office Supplies</t>
  </si>
  <si>
    <t>Stationery</t>
  </si>
  <si>
    <t>North</t>
  </si>
  <si>
    <t>Delhi</t>
  </si>
  <si>
    <t>New Delhi</t>
  </si>
  <si>
    <t>Standard</t>
  </si>
  <si>
    <t>AMZ10007</t>
  </si>
  <si>
    <t>2025-12-13</t>
  </si>
  <si>
    <t>2025-12-17</t>
  </si>
  <si>
    <t>Printer</t>
  </si>
  <si>
    <t>Printers</t>
  </si>
  <si>
    <t>Maharashtra</t>
  </si>
  <si>
    <t>Mumbai</t>
  </si>
  <si>
    <t>AMZ10008</t>
  </si>
  <si>
    <t>2025-10-23</t>
  </si>
  <si>
    <t>2025-10-27</t>
  </si>
  <si>
    <t>Vikas</t>
  </si>
  <si>
    <t>AMZ10009</t>
  </si>
  <si>
    <t>2025-08-19</t>
  </si>
  <si>
    <t>2025-08-26</t>
  </si>
  <si>
    <t>AMZ10010</t>
  </si>
  <si>
    <t>2025-10-31</t>
  </si>
  <si>
    <t>2025-11-05</t>
  </si>
  <si>
    <t>Neha</t>
  </si>
  <si>
    <t>First Class</t>
  </si>
  <si>
    <t>AMZ10011</t>
  </si>
  <si>
    <t>2025-06-17</t>
  </si>
  <si>
    <t>2025-06-18</t>
  </si>
  <si>
    <t>Priya</t>
  </si>
  <si>
    <t>AMZ10012</t>
  </si>
  <si>
    <t>2025-09-28</t>
  </si>
  <si>
    <t>2025-09-29</t>
  </si>
  <si>
    <t>Wireless Mouse</t>
  </si>
  <si>
    <t>AMZ10013</t>
  </si>
  <si>
    <t>2025-01-13</t>
  </si>
  <si>
    <t>2025-01-14</t>
  </si>
  <si>
    <t>Punjab</t>
  </si>
  <si>
    <t>Ludhiana</t>
  </si>
  <si>
    <t>AMZ10014</t>
  </si>
  <si>
    <t>2025-12-08</t>
  </si>
  <si>
    <t>2025-12-15</t>
  </si>
  <si>
    <t>Prem</t>
  </si>
  <si>
    <t>AMZ10015</t>
  </si>
  <si>
    <t>2025-09-09</t>
  </si>
  <si>
    <t>2025-09-13</t>
  </si>
  <si>
    <t>Riya</t>
  </si>
  <si>
    <t>AMZ10016</t>
  </si>
  <si>
    <t>2025-12-19</t>
  </si>
  <si>
    <t>2025-12-22</t>
  </si>
  <si>
    <t>Headphones</t>
  </si>
  <si>
    <t>AMZ10017</t>
  </si>
  <si>
    <t>2025-06-08</t>
  </si>
  <si>
    <t>2025-06-12</t>
  </si>
  <si>
    <t>AMZ10018</t>
  </si>
  <si>
    <t>2025-05-07</t>
  </si>
  <si>
    <t>2025-05-09</t>
  </si>
  <si>
    <t>Backpack</t>
  </si>
  <si>
    <t>Bags</t>
  </si>
  <si>
    <t>Travel</t>
  </si>
  <si>
    <t>AMZ10019</t>
  </si>
  <si>
    <t>2025-02-22</t>
  </si>
  <si>
    <t>2025-02-24</t>
  </si>
  <si>
    <t>Study Table</t>
  </si>
  <si>
    <t>Tables</t>
  </si>
  <si>
    <t>AMZ10020</t>
  </si>
  <si>
    <t>2025-03-13</t>
  </si>
  <si>
    <t>2025-03-18</t>
  </si>
  <si>
    <t>AMZ10021</t>
  </si>
  <si>
    <t>2025-03-22</t>
  </si>
  <si>
    <t>2025-03-29</t>
  </si>
  <si>
    <t>AMZ10022</t>
  </si>
  <si>
    <t>2025-09-01</t>
  </si>
  <si>
    <t>2025-09-02</t>
  </si>
  <si>
    <t>Water Bottle</t>
  </si>
  <si>
    <t>Home</t>
  </si>
  <si>
    <t>Kitchen</t>
  </si>
  <si>
    <t>Pune</t>
  </si>
  <si>
    <t>AMZ10023</t>
  </si>
  <si>
    <t>2025-04-06</t>
  </si>
  <si>
    <t>2025-04-08</t>
  </si>
  <si>
    <t>AMZ10024</t>
  </si>
  <si>
    <t>2025-06-01</t>
  </si>
  <si>
    <t>2025-06-03</t>
  </si>
  <si>
    <t>AMZ10025</t>
  </si>
  <si>
    <t>2025-08-08</t>
  </si>
  <si>
    <t>2025-08-09</t>
  </si>
  <si>
    <t>AMZ10026</t>
  </si>
  <si>
    <t>2025-01-11</t>
  </si>
  <si>
    <t>2025-01-18</t>
  </si>
  <si>
    <t>AMZ10027</t>
  </si>
  <si>
    <t>2025-08-24</t>
  </si>
  <si>
    <t>2025-08-30</t>
  </si>
  <si>
    <t>AMZ10028</t>
  </si>
  <si>
    <t>2025-07-12</t>
  </si>
  <si>
    <t>2025-07-19</t>
  </si>
  <si>
    <t>AMZ10029</t>
  </si>
  <si>
    <t>2025-07-07</t>
  </si>
  <si>
    <t>2025-07-10</t>
  </si>
  <si>
    <t>West Bengal</t>
  </si>
  <si>
    <t>Kolkata</t>
  </si>
  <si>
    <t>AMZ10030</t>
  </si>
  <si>
    <t>2025-01-27</t>
  </si>
  <si>
    <t>2025-01-29</t>
  </si>
  <si>
    <t>AMZ10031</t>
  </si>
  <si>
    <t>2025-05-19</t>
  </si>
  <si>
    <t>2025-05-22</t>
  </si>
  <si>
    <t>AMZ10032</t>
  </si>
  <si>
    <t>2025-07-05</t>
  </si>
  <si>
    <t>2025-07-08</t>
  </si>
  <si>
    <t>AMZ10033</t>
  </si>
  <si>
    <t>2025-04-21</t>
  </si>
  <si>
    <t>2025-04-28</t>
  </si>
  <si>
    <t>AMZ10034</t>
  </si>
  <si>
    <t>2025-02-15</t>
  </si>
  <si>
    <t>2025-02-18</t>
  </si>
  <si>
    <t>AMZ10035</t>
  </si>
  <si>
    <t>2025-11-28</t>
  </si>
  <si>
    <t>2025-12-04</t>
  </si>
  <si>
    <t>AMZ10036</t>
  </si>
  <si>
    <t>2025-10-05</t>
  </si>
  <si>
    <t>2025-10-10</t>
  </si>
  <si>
    <t>AMZ10037</t>
  </si>
  <si>
    <t>2025-01-17</t>
  </si>
  <si>
    <t>AMZ10038</t>
  </si>
  <si>
    <t>2025-11-08</t>
  </si>
  <si>
    <t>AMZ10039</t>
  </si>
  <si>
    <t>2025-09-22</t>
  </si>
  <si>
    <t>2025-09-25</t>
  </si>
  <si>
    <t>AMZ10040</t>
  </si>
  <si>
    <t>2025-08-16</t>
  </si>
  <si>
    <t>2025-08-22</t>
  </si>
  <si>
    <t>AMZ10041</t>
  </si>
  <si>
    <t>2025-04-25</t>
  </si>
  <si>
    <t>AMZ10042</t>
  </si>
  <si>
    <t>2025-05-23</t>
  </si>
  <si>
    <t>2025-05-29</t>
  </si>
  <si>
    <t>AMZ10043</t>
  </si>
  <si>
    <t>2025-10-19</t>
  </si>
  <si>
    <t>2025-10-21</t>
  </si>
  <si>
    <t>AMZ10044</t>
  </si>
  <si>
    <t>2025-05-17</t>
  </si>
  <si>
    <t>2025-05-21</t>
  </si>
  <si>
    <t>AMZ10045</t>
  </si>
  <si>
    <t>2025-11-26</t>
  </si>
  <si>
    <t>2025-12-02</t>
  </si>
  <si>
    <t>AMZ10046</t>
  </si>
  <si>
    <t>2025-04-22</t>
  </si>
  <si>
    <t>2025-04-27</t>
  </si>
  <si>
    <t>AMZ10047</t>
  </si>
  <si>
    <t>2025-04-18</t>
  </si>
  <si>
    <t>AMZ10048</t>
  </si>
  <si>
    <t>2025-07-13</t>
  </si>
  <si>
    <t>2025-07-20</t>
  </si>
  <si>
    <t>AMZ10049</t>
  </si>
  <si>
    <t>2025-04-13</t>
  </si>
  <si>
    <t>2025-04-19</t>
  </si>
  <si>
    <t>AMZ10050</t>
  </si>
  <si>
    <t>2025-02-27</t>
  </si>
  <si>
    <t>2025-02-28</t>
  </si>
  <si>
    <t>AMZ10051</t>
  </si>
  <si>
    <t>2025-07-11</t>
  </si>
  <si>
    <t>2025-07-14</t>
  </si>
  <si>
    <t>AMZ10052</t>
  </si>
  <si>
    <t>2025-11-10</t>
  </si>
  <si>
    <t>AMZ10053</t>
  </si>
  <si>
    <t>2025-02-16</t>
  </si>
  <si>
    <t>2025-02-23</t>
  </si>
  <si>
    <t>AMZ10054</t>
  </si>
  <si>
    <t>2025-01-03</t>
  </si>
  <si>
    <t>2025-01-10</t>
  </si>
  <si>
    <t>AMZ10055</t>
  </si>
  <si>
    <t>2025-06-07</t>
  </si>
  <si>
    <t>2025-06-11</t>
  </si>
  <si>
    <t>AMZ10056</t>
  </si>
  <si>
    <t>2025-02-06</t>
  </si>
  <si>
    <t>2025-02-07</t>
  </si>
  <si>
    <t>AMZ10057</t>
  </si>
  <si>
    <t>2025-10-06</t>
  </si>
  <si>
    <t>2025-10-12</t>
  </si>
  <si>
    <t>AMZ10058</t>
  </si>
  <si>
    <t>2025-12-20</t>
  </si>
  <si>
    <t>AMZ10059</t>
  </si>
  <si>
    <t>2025-10-17</t>
  </si>
  <si>
    <t>2025-10-20</t>
  </si>
  <si>
    <t>AMZ10060</t>
  </si>
  <si>
    <t>2025-05-25</t>
  </si>
  <si>
    <t>2025-05-28</t>
  </si>
  <si>
    <t>AMZ10061</t>
  </si>
  <si>
    <t>2025-02-10</t>
  </si>
  <si>
    <t>AMZ10062</t>
  </si>
  <si>
    <t>2025-04-23</t>
  </si>
  <si>
    <t>AMZ10063</t>
  </si>
  <si>
    <t>2025-12-23</t>
  </si>
  <si>
    <t>2025-12-27</t>
  </si>
  <si>
    <t>AMZ10064</t>
  </si>
  <si>
    <t>2025-03-26</t>
  </si>
  <si>
    <t>AMZ10065</t>
  </si>
  <si>
    <t>2025-10-11</t>
  </si>
  <si>
    <t>AMZ10066</t>
  </si>
  <si>
    <t>2025-06-16</t>
  </si>
  <si>
    <t>AMZ10067</t>
  </si>
  <si>
    <t>2025-10-13</t>
  </si>
  <si>
    <t>AMZ10068</t>
  </si>
  <si>
    <t>2025-04-04</t>
  </si>
  <si>
    <t>AMZ10069</t>
  </si>
  <si>
    <t>2025-03-01</t>
  </si>
  <si>
    <t>AMZ10070</t>
  </si>
  <si>
    <t>2025-08-13</t>
  </si>
  <si>
    <t>2025-08-18</t>
  </si>
  <si>
    <t>AMZ10071</t>
  </si>
  <si>
    <t>2025-11-21</t>
  </si>
  <si>
    <t>AMZ10072</t>
  </si>
  <si>
    <t>2025-03-09</t>
  </si>
  <si>
    <t>2025-03-14</t>
  </si>
  <si>
    <t>AMZ10073</t>
  </si>
  <si>
    <t>2025-04-03</t>
  </si>
  <si>
    <t>AMZ10074</t>
  </si>
  <si>
    <t>2025-03-23</t>
  </si>
  <si>
    <t>2025-03-28</t>
  </si>
  <si>
    <t>AMZ10075</t>
  </si>
  <si>
    <t>2025-10-07</t>
  </si>
  <si>
    <t>2025-10-08</t>
  </si>
  <si>
    <t>AMZ10076</t>
  </si>
  <si>
    <t>2025-06-28</t>
  </si>
  <si>
    <t>2025-07-03</t>
  </si>
  <si>
    <t>AMZ10077</t>
  </si>
  <si>
    <t>2025-06-02</t>
  </si>
  <si>
    <t>AMZ10078</t>
  </si>
  <si>
    <t>2025-04-01</t>
  </si>
  <si>
    <t>AMZ10079</t>
  </si>
  <si>
    <t>2025-06-10</t>
  </si>
  <si>
    <t>2025-06-13</t>
  </si>
  <si>
    <t>AMZ10080</t>
  </si>
  <si>
    <t>AMZ10081</t>
  </si>
  <si>
    <t>2025-11-29</t>
  </si>
  <si>
    <t>2025-12-01</t>
  </si>
  <si>
    <t>AMZ10082</t>
  </si>
  <si>
    <t>2025-11-30</t>
  </si>
  <si>
    <t>2025-12-06</t>
  </si>
  <si>
    <t>AMZ10083</t>
  </si>
  <si>
    <t>2025-05-16</t>
  </si>
  <si>
    <t>AMZ10084</t>
  </si>
  <si>
    <t>2025-05-02</t>
  </si>
  <si>
    <t>2025-05-08</t>
  </si>
  <si>
    <t>AMZ10085</t>
  </si>
  <si>
    <t>AMZ10086</t>
  </si>
  <si>
    <t>2025-11-06</t>
  </si>
  <si>
    <t>AMZ10087</t>
  </si>
  <si>
    <t>2025-10-26</t>
  </si>
  <si>
    <t>AMZ10088</t>
  </si>
  <si>
    <t>AMZ10089</t>
  </si>
  <si>
    <t>2025-09-08</t>
  </si>
  <si>
    <t>2025-09-11</t>
  </si>
  <si>
    <t>AMZ10090</t>
  </si>
  <si>
    <t>2025-07-26</t>
  </si>
  <si>
    <t>2025-07-27</t>
  </si>
  <si>
    <t>AMZ10091</t>
  </si>
  <si>
    <t>2025-01-08</t>
  </si>
  <si>
    <t>AMZ10092</t>
  </si>
  <si>
    <t>2025-09-05</t>
  </si>
  <si>
    <t>AMZ10093</t>
  </si>
  <si>
    <t>AMZ10094</t>
  </si>
  <si>
    <t>AMZ10095</t>
  </si>
  <si>
    <t>2025-10-24</t>
  </si>
  <si>
    <t>AMZ10096</t>
  </si>
  <si>
    <t>2025-10-14</t>
  </si>
  <si>
    <t>AMZ10097</t>
  </si>
  <si>
    <t>2025-11-12</t>
  </si>
  <si>
    <t>AMZ10098</t>
  </si>
  <si>
    <t>2025-10-15</t>
  </si>
  <si>
    <t>AMZ10099</t>
  </si>
  <si>
    <t>2025-01-25</t>
  </si>
  <si>
    <t>2025-01-28</t>
  </si>
  <si>
    <t>AMZ10100</t>
  </si>
  <si>
    <t>2025-09-04</t>
  </si>
  <si>
    <t>AMZ10101</t>
  </si>
  <si>
    <t>2025-08-20</t>
  </si>
  <si>
    <t>2025-08-25</t>
  </si>
  <si>
    <t>AMZ10102</t>
  </si>
  <si>
    <t>2025-01-23</t>
  </si>
  <si>
    <t>AMZ10103</t>
  </si>
  <si>
    <t>2025-02-11</t>
  </si>
  <si>
    <t>AMZ10104</t>
  </si>
  <si>
    <t>2025-04-29</t>
  </si>
  <si>
    <t>2025-05-06</t>
  </si>
  <si>
    <t>AMZ10105</t>
  </si>
  <si>
    <t>2025-03-05</t>
  </si>
  <si>
    <t>AMZ10106</t>
  </si>
  <si>
    <t>2025-12-05</t>
  </si>
  <si>
    <t>AMZ10107</t>
  </si>
  <si>
    <t>2025-03-12</t>
  </si>
  <si>
    <t>AMZ10108</t>
  </si>
  <si>
    <t>AMZ10109</t>
  </si>
  <si>
    <t>AMZ10110</t>
  </si>
  <si>
    <t>AMZ10111</t>
  </si>
  <si>
    <t>2025-08-27</t>
  </si>
  <si>
    <t>AMZ10112</t>
  </si>
  <si>
    <t>AMZ10113</t>
  </si>
  <si>
    <t>2025-02-09</t>
  </si>
  <si>
    <t>AMZ10114</t>
  </si>
  <si>
    <t>AMZ10115</t>
  </si>
  <si>
    <t>2025-12-26</t>
  </si>
  <si>
    <t>AMZ10116</t>
  </si>
  <si>
    <t>2025-12-03</t>
  </si>
  <si>
    <t>AMZ10117</t>
  </si>
  <si>
    <t>AMZ10118</t>
  </si>
  <si>
    <t>AMZ10119</t>
  </si>
  <si>
    <t>2025-10-22</t>
  </si>
  <si>
    <t>2025-10-25</t>
  </si>
  <si>
    <t>AMZ10120</t>
  </si>
  <si>
    <t>AMZ10121</t>
  </si>
  <si>
    <t>2025-12-16</t>
  </si>
  <si>
    <t>AMZ10122</t>
  </si>
  <si>
    <t>2025-07-17</t>
  </si>
  <si>
    <t>AMZ10123</t>
  </si>
  <si>
    <t>2025-04-14</t>
  </si>
  <si>
    <t>AMZ10124</t>
  </si>
  <si>
    <t>2025-05-30</t>
  </si>
  <si>
    <t>2025-05-31</t>
  </si>
  <si>
    <t>AMZ10125</t>
  </si>
  <si>
    <t>2025-01-31</t>
  </si>
  <si>
    <t>2025-02-05</t>
  </si>
  <si>
    <t>AMZ10126</t>
  </si>
  <si>
    <t>AMZ10127</t>
  </si>
  <si>
    <t>2025-12-29</t>
  </si>
  <si>
    <t>2026-01-02</t>
  </si>
  <si>
    <t>AMZ10128</t>
  </si>
  <si>
    <t>AMZ10129</t>
  </si>
  <si>
    <t>2025-11-19</t>
  </si>
  <si>
    <t>AMZ10130</t>
  </si>
  <si>
    <t>AMZ10131</t>
  </si>
  <si>
    <t>AMZ10132</t>
  </si>
  <si>
    <t>2025-01-30</t>
  </si>
  <si>
    <t>AMZ10133</t>
  </si>
  <si>
    <t>AMZ10134</t>
  </si>
  <si>
    <t>AMZ10135</t>
  </si>
  <si>
    <t>AMZ10136</t>
  </si>
  <si>
    <t>2025-04-17</t>
  </si>
  <si>
    <t>AMZ10137</t>
  </si>
  <si>
    <t>2025-01-04</t>
  </si>
  <si>
    <t>AMZ10138</t>
  </si>
  <si>
    <t>2025-08-07</t>
  </si>
  <si>
    <t>2025-08-14</t>
  </si>
  <si>
    <t>AMZ10139</t>
  </si>
  <si>
    <t>2025-03-02</t>
  </si>
  <si>
    <t>AMZ10140</t>
  </si>
  <si>
    <t>2025-06-06</t>
  </si>
  <si>
    <t>2025-06-09</t>
  </si>
  <si>
    <t>AMZ10141</t>
  </si>
  <si>
    <t>2025-11-13</t>
  </si>
  <si>
    <t>AMZ10142</t>
  </si>
  <si>
    <t>2025-09-14</t>
  </si>
  <si>
    <t>2025-09-19</t>
  </si>
  <si>
    <t>AMZ10143</t>
  </si>
  <si>
    <t>2025-04-15</t>
  </si>
  <si>
    <t>AMZ10144</t>
  </si>
  <si>
    <t>2025-12-28</t>
  </si>
  <si>
    <t>2026-01-04</t>
  </si>
  <si>
    <t>AMZ10145</t>
  </si>
  <si>
    <t>2025-04-26</t>
  </si>
  <si>
    <t>AMZ10146</t>
  </si>
  <si>
    <t>2025-09-27</t>
  </si>
  <si>
    <t>2025-10-01</t>
  </si>
  <si>
    <t>AMZ10147</t>
  </si>
  <si>
    <t>2025-03-24</t>
  </si>
  <si>
    <t>2025-03-30</t>
  </si>
  <si>
    <t>AMZ10148</t>
  </si>
  <si>
    <t>2025-09-23</t>
  </si>
  <si>
    <t>AMZ10149</t>
  </si>
  <si>
    <t>AMZ10150</t>
  </si>
  <si>
    <t>2025-07-15</t>
  </si>
  <si>
    <t>2025-07-16</t>
  </si>
  <si>
    <t>AMZ10151</t>
  </si>
  <si>
    <t>AMZ10152</t>
  </si>
  <si>
    <t>2025-11-17</t>
  </si>
  <si>
    <t>AMZ10153</t>
  </si>
  <si>
    <t>2025-03-27</t>
  </si>
  <si>
    <t>AMZ10154</t>
  </si>
  <si>
    <t>2025-11-09</t>
  </si>
  <si>
    <t>AMZ10155</t>
  </si>
  <si>
    <t>2025-11-03</t>
  </si>
  <si>
    <t>AMZ10156</t>
  </si>
  <si>
    <t>2025-11-22</t>
  </si>
  <si>
    <t>2025-11-23</t>
  </si>
  <si>
    <t>AMZ10157</t>
  </si>
  <si>
    <t>AMZ10158</t>
  </si>
  <si>
    <t>AMZ10159</t>
  </si>
  <si>
    <t>AMZ10160</t>
  </si>
  <si>
    <t>2025-02-01</t>
  </si>
  <si>
    <t>AMZ10161</t>
  </si>
  <si>
    <t>2025-09-17</t>
  </si>
  <si>
    <t>AMZ10162</t>
  </si>
  <si>
    <t>AMZ10163</t>
  </si>
  <si>
    <t>2025-09-16</t>
  </si>
  <si>
    <t>AMZ10164</t>
  </si>
  <si>
    <t>2025-10-09</t>
  </si>
  <si>
    <t>AMZ10165</t>
  </si>
  <si>
    <t>2025-08-03</t>
  </si>
  <si>
    <t>2025-08-10</t>
  </si>
  <si>
    <t>AMZ10166</t>
  </si>
  <si>
    <t>2025-01-09</t>
  </si>
  <si>
    <t>AMZ10167</t>
  </si>
  <si>
    <t>AMZ10168</t>
  </si>
  <si>
    <t>2025-03-20</t>
  </si>
  <si>
    <t>2025-03-25</t>
  </si>
  <si>
    <t>AMZ10169</t>
  </si>
  <si>
    <t>2025-12-21</t>
  </si>
  <si>
    <t>AMZ10170</t>
  </si>
  <si>
    <t>AMZ10171</t>
  </si>
  <si>
    <t>2025-04-09</t>
  </si>
  <si>
    <t>2025-04-11</t>
  </si>
  <si>
    <t>AMZ10172</t>
  </si>
  <si>
    <t>2025-08-29</t>
  </si>
  <si>
    <t>AMZ10173</t>
  </si>
  <si>
    <t>2025-01-24</t>
  </si>
  <si>
    <t>AMZ10174</t>
  </si>
  <si>
    <t>AMZ10175</t>
  </si>
  <si>
    <t>2025-04-10</t>
  </si>
  <si>
    <t>AMZ10176</t>
  </si>
  <si>
    <t>2025-11-01</t>
  </si>
  <si>
    <t>AMZ10177</t>
  </si>
  <si>
    <t>AMZ10178</t>
  </si>
  <si>
    <t>2025-05-03</t>
  </si>
  <si>
    <t>AMZ10179</t>
  </si>
  <si>
    <t>2025-06-21</t>
  </si>
  <si>
    <t>2025-06-24</t>
  </si>
  <si>
    <t>AMZ10180</t>
  </si>
  <si>
    <t>2025-02-14</t>
  </si>
  <si>
    <t>AMZ10181</t>
  </si>
  <si>
    <t>AMZ10182</t>
  </si>
  <si>
    <t>2025-07-30</t>
  </si>
  <si>
    <t>2025-07-31</t>
  </si>
  <si>
    <t>AMZ10183</t>
  </si>
  <si>
    <t>2025-12-10</t>
  </si>
  <si>
    <t>2025-12-12</t>
  </si>
  <si>
    <t>AMZ10184</t>
  </si>
  <si>
    <t>2025-03-21</t>
  </si>
  <si>
    <t>AMZ10185</t>
  </si>
  <si>
    <t>AMZ10186</t>
  </si>
  <si>
    <t>AMZ10187</t>
  </si>
  <si>
    <t>2025-08-02</t>
  </si>
  <si>
    <t>AMZ10188</t>
  </si>
  <si>
    <t>2025-06-27</t>
  </si>
  <si>
    <t>2025-07-01</t>
  </si>
  <si>
    <t>AMZ10189</t>
  </si>
  <si>
    <t>AMZ10190</t>
  </si>
  <si>
    <t>2025-12-25</t>
  </si>
  <si>
    <t>AMZ10191</t>
  </si>
  <si>
    <t>2025-03-15</t>
  </si>
  <si>
    <t>AMZ10192</t>
  </si>
  <si>
    <t>AMZ10193</t>
  </si>
  <si>
    <t>2025-01-07</t>
  </si>
  <si>
    <t>AMZ10194</t>
  </si>
  <si>
    <t>AMZ10195</t>
  </si>
  <si>
    <t>2025-10-29</t>
  </si>
  <si>
    <t>AMZ10196</t>
  </si>
  <si>
    <t>2025-11-27</t>
  </si>
  <si>
    <t>AMZ10197</t>
  </si>
  <si>
    <t>2025-06-14</t>
  </si>
  <si>
    <t>AMZ10198</t>
  </si>
  <si>
    <t>AMZ10199</t>
  </si>
  <si>
    <t>AMZ10200</t>
  </si>
  <si>
    <t>2025-05-24</t>
  </si>
  <si>
    <t>AMZ10201</t>
  </si>
  <si>
    <t>2025-09-24</t>
  </si>
  <si>
    <t>AMZ10202</t>
  </si>
  <si>
    <t>AMZ10203</t>
  </si>
  <si>
    <t>AMZ10204</t>
  </si>
  <si>
    <t>AMZ10205</t>
  </si>
  <si>
    <t>2025-08-11</t>
  </si>
  <si>
    <t>AMZ10206</t>
  </si>
  <si>
    <t>AMZ10207</t>
  </si>
  <si>
    <t>2025-07-02</t>
  </si>
  <si>
    <t>AMZ10208</t>
  </si>
  <si>
    <t>AMZ10209</t>
  </si>
  <si>
    <t>2025-01-02</t>
  </si>
  <si>
    <t>2025-01-06</t>
  </si>
  <si>
    <t>AMZ10210</t>
  </si>
  <si>
    <t>AMZ10211</t>
  </si>
  <si>
    <t>AMZ10212</t>
  </si>
  <si>
    <t>AMZ10213</t>
  </si>
  <si>
    <t>AMZ10214</t>
  </si>
  <si>
    <t>AMZ10215</t>
  </si>
  <si>
    <t>AMZ10216</t>
  </si>
  <si>
    <t>2025-08-15</t>
  </si>
  <si>
    <t>AMZ10217</t>
  </si>
  <si>
    <t>AMZ10218</t>
  </si>
  <si>
    <t>AMZ10219</t>
  </si>
  <si>
    <t>AMZ10220</t>
  </si>
  <si>
    <t>2025-07-24</t>
  </si>
  <si>
    <t>2025-07-29</t>
  </si>
  <si>
    <t>AMZ10221</t>
  </si>
  <si>
    <t>2026-01-05</t>
  </si>
  <si>
    <t>AMZ10222</t>
  </si>
  <si>
    <t>AMZ10223</t>
  </si>
  <si>
    <t>2025-05-04</t>
  </si>
  <si>
    <t>AMZ10224</t>
  </si>
  <si>
    <t>AMZ10225</t>
  </si>
  <si>
    <t>AMZ10226</t>
  </si>
  <si>
    <t>AMZ10227</t>
  </si>
  <si>
    <t>2025-01-15</t>
  </si>
  <si>
    <t>2025-01-22</t>
  </si>
  <si>
    <t>AMZ10228</t>
  </si>
  <si>
    <t>AMZ10229</t>
  </si>
  <si>
    <t>AMZ10230</t>
  </si>
  <si>
    <t>2025-05-18</t>
  </si>
  <si>
    <t>AMZ10231</t>
  </si>
  <si>
    <t>AMZ10232</t>
  </si>
  <si>
    <t>AMZ10233</t>
  </si>
  <si>
    <t>2025-02-19</t>
  </si>
  <si>
    <t>AMZ10234</t>
  </si>
  <si>
    <t>2025-03-10</t>
  </si>
  <si>
    <t>AMZ10235</t>
  </si>
  <si>
    <t>AMZ10236</t>
  </si>
  <si>
    <t>AMZ10237</t>
  </si>
  <si>
    <t>2025-07-21</t>
  </si>
  <si>
    <t>AMZ10238</t>
  </si>
  <si>
    <t>AMZ10239</t>
  </si>
  <si>
    <t>2025-12-14</t>
  </si>
  <si>
    <t>AMZ10240</t>
  </si>
  <si>
    <t>2025-11-20</t>
  </si>
  <si>
    <t>AMZ10241</t>
  </si>
  <si>
    <t>AMZ10242</t>
  </si>
  <si>
    <t>2025-12-18</t>
  </si>
  <si>
    <t>AMZ10243</t>
  </si>
  <si>
    <t>2025-02-17</t>
  </si>
  <si>
    <t>2025-02-21</t>
  </si>
  <si>
    <t>AMZ10244</t>
  </si>
  <si>
    <t>AMZ10245</t>
  </si>
  <si>
    <t>2025-03-19</t>
  </si>
  <si>
    <t>AMZ10246</t>
  </si>
  <si>
    <t>AMZ10247</t>
  </si>
  <si>
    <t>2025-12-11</t>
  </si>
  <si>
    <t>AMZ10248</t>
  </si>
  <si>
    <t>2025-01-16</t>
  </si>
  <si>
    <t>2025-01-21</t>
  </si>
  <si>
    <t>AMZ10249</t>
  </si>
  <si>
    <t>AMZ10250</t>
  </si>
  <si>
    <t>AMZ10251</t>
  </si>
  <si>
    <t>2025-02-20</t>
  </si>
  <si>
    <t>AMZ10252</t>
  </si>
  <si>
    <t>AMZ10253</t>
  </si>
  <si>
    <t>2025-03-06</t>
  </si>
  <si>
    <t>2025-03-07</t>
  </si>
  <si>
    <t>AMZ10254</t>
  </si>
  <si>
    <t>AMZ10255</t>
  </si>
  <si>
    <t>AMZ10256</t>
  </si>
  <si>
    <t>AMZ10257</t>
  </si>
  <si>
    <t>2025-08-23</t>
  </si>
  <si>
    <t>AMZ10258</t>
  </si>
  <si>
    <t>AMZ10259</t>
  </si>
  <si>
    <t>AMZ10260</t>
  </si>
  <si>
    <t>AMZ10261</t>
  </si>
  <si>
    <t>AMZ10262</t>
  </si>
  <si>
    <t>AMZ10263</t>
  </si>
  <si>
    <t>AMZ10264</t>
  </si>
  <si>
    <t>AMZ10265</t>
  </si>
  <si>
    <t>2025-09-21</t>
  </si>
  <si>
    <t>AMZ10266</t>
  </si>
  <si>
    <t>AMZ10267</t>
  </si>
  <si>
    <t>AMZ10268</t>
  </si>
  <si>
    <t>2025-02-08</t>
  </si>
  <si>
    <t>2025-02-13</t>
  </si>
  <si>
    <t>AMZ10269</t>
  </si>
  <si>
    <t>2026-01-03</t>
  </si>
  <si>
    <t>AMZ10270</t>
  </si>
  <si>
    <t>2025-03-16</t>
  </si>
  <si>
    <t>AMZ10271</t>
  </si>
  <si>
    <t>AMZ10272</t>
  </si>
  <si>
    <t>AMZ10273</t>
  </si>
  <si>
    <t>2025-08-01</t>
  </si>
  <si>
    <t>AMZ10274</t>
  </si>
  <si>
    <t>2025-11-16</t>
  </si>
  <si>
    <t>AMZ10275</t>
  </si>
  <si>
    <t>2025-11-18</t>
  </si>
  <si>
    <t>AMZ10276</t>
  </si>
  <si>
    <t>AMZ10277</t>
  </si>
  <si>
    <t>AMZ10278</t>
  </si>
  <si>
    <t>2025-01-05</t>
  </si>
  <si>
    <t>2025-01-12</t>
  </si>
  <si>
    <t>AMZ10279</t>
  </si>
  <si>
    <t>AMZ10280</t>
  </si>
  <si>
    <t>2025-07-09</t>
  </si>
  <si>
    <t>AMZ10281</t>
  </si>
  <si>
    <t>2025-10-16</t>
  </si>
  <si>
    <t>AMZ10282</t>
  </si>
  <si>
    <t>AMZ10283</t>
  </si>
  <si>
    <t>AMZ10284</t>
  </si>
  <si>
    <t>AMZ10285</t>
  </si>
  <si>
    <t>AMZ10286</t>
  </si>
  <si>
    <t>AMZ10287</t>
  </si>
  <si>
    <t>2025-03-17</t>
  </si>
  <si>
    <t>AMZ10288</t>
  </si>
  <si>
    <t>AMZ10289</t>
  </si>
  <si>
    <t>AMZ10290</t>
  </si>
  <si>
    <t>AMZ10291</t>
  </si>
  <si>
    <t>2025-10-30</t>
  </si>
  <si>
    <t>AMZ10292</t>
  </si>
  <si>
    <t>2025-02-26</t>
  </si>
  <si>
    <t>AMZ10293</t>
  </si>
  <si>
    <t>AMZ10294</t>
  </si>
  <si>
    <t>AMZ10295</t>
  </si>
  <si>
    <t>2025-06-29</t>
  </si>
  <si>
    <t>2025-06-30</t>
  </si>
  <si>
    <t>AMZ10296</t>
  </si>
  <si>
    <t>2025-09-07</t>
  </si>
  <si>
    <t>AMZ10297</t>
  </si>
  <si>
    <t>2025-05-11</t>
  </si>
  <si>
    <t>2025-05-15</t>
  </si>
  <si>
    <t>AMZ10298</t>
  </si>
  <si>
    <t>AMZ10299</t>
  </si>
  <si>
    <t>AMZ10300</t>
  </si>
  <si>
    <t>AMZ10301</t>
  </si>
  <si>
    <t>AMZ10302</t>
  </si>
  <si>
    <t>AMZ10303</t>
  </si>
  <si>
    <t>2025-08-12</t>
  </si>
  <si>
    <t>AMZ10304</t>
  </si>
  <si>
    <t>2025-07-28</t>
  </si>
  <si>
    <t>AMZ10305</t>
  </si>
  <si>
    <t>AMZ10306</t>
  </si>
  <si>
    <t>AMZ10307</t>
  </si>
  <si>
    <t>AMZ10308</t>
  </si>
  <si>
    <t>2025-06-05</t>
  </si>
  <si>
    <t>AMZ10309</t>
  </si>
  <si>
    <t>2025-05-10</t>
  </si>
  <si>
    <t>AMZ10310</t>
  </si>
  <si>
    <t>AMZ10311</t>
  </si>
  <si>
    <t>AMZ10312</t>
  </si>
  <si>
    <t>2025-10-03</t>
  </si>
  <si>
    <t>AMZ10313</t>
  </si>
  <si>
    <t>2025-05-27</t>
  </si>
  <si>
    <t>AMZ10314</t>
  </si>
  <si>
    <t>AMZ10315</t>
  </si>
  <si>
    <t>AMZ10316</t>
  </si>
  <si>
    <t>2025-03-31</t>
  </si>
  <si>
    <t>AMZ10317</t>
  </si>
  <si>
    <t>AMZ10318</t>
  </si>
  <si>
    <t>AMZ10319</t>
  </si>
  <si>
    <t>AMZ10320</t>
  </si>
  <si>
    <t>AMZ10321</t>
  </si>
  <si>
    <t>AMZ10322</t>
  </si>
  <si>
    <t>AMZ10323</t>
  </si>
  <si>
    <t>AMZ10324</t>
  </si>
  <si>
    <t>AMZ10325</t>
  </si>
  <si>
    <t>2025-11-14</t>
  </si>
  <si>
    <t>AMZ10326</t>
  </si>
  <si>
    <t>AMZ10327</t>
  </si>
  <si>
    <t>AMZ10328</t>
  </si>
  <si>
    <t>AMZ10329</t>
  </si>
  <si>
    <t>2025-05-12</t>
  </si>
  <si>
    <t>2025-05-13</t>
  </si>
  <si>
    <t>AMZ10330</t>
  </si>
  <si>
    <t>AMZ10331</t>
  </si>
  <si>
    <t>2025-08-06</t>
  </si>
  <si>
    <t>AMZ10332</t>
  </si>
  <si>
    <t>AMZ10333</t>
  </si>
  <si>
    <t>AMZ10334</t>
  </si>
  <si>
    <t>AMZ10335</t>
  </si>
  <si>
    <t>AMZ10336</t>
  </si>
  <si>
    <t>AMZ10337</t>
  </si>
  <si>
    <t>AMZ10338</t>
  </si>
  <si>
    <t>2025-08-31</t>
  </si>
  <si>
    <t>AMZ10339</t>
  </si>
  <si>
    <t>2025-10-28</t>
  </si>
  <si>
    <t>AMZ10340</t>
  </si>
  <si>
    <t>2025-04-07</t>
  </si>
  <si>
    <t>AMZ10341</t>
  </si>
  <si>
    <t>AMZ10342</t>
  </si>
  <si>
    <t>AMZ10343</t>
  </si>
  <si>
    <t>AMZ10344</t>
  </si>
  <si>
    <t>2025-01-01</t>
  </si>
  <si>
    <t>AMZ10345</t>
  </si>
  <si>
    <t>AMZ10346</t>
  </si>
  <si>
    <t>AMZ10347</t>
  </si>
  <si>
    <t>AMZ10348</t>
  </si>
  <si>
    <t>AMZ10349</t>
  </si>
  <si>
    <t>AMZ10350</t>
  </si>
  <si>
    <t>2025-02-12</t>
  </si>
  <si>
    <t>AMZ10351</t>
  </si>
  <si>
    <t>AMZ10352</t>
  </si>
  <si>
    <t>AMZ10353</t>
  </si>
  <si>
    <t>2025-06-15</t>
  </si>
  <si>
    <t>2025-06-20</t>
  </si>
  <si>
    <t>AMZ10354</t>
  </si>
  <si>
    <t>AMZ10355</t>
  </si>
  <si>
    <t>AMZ10356</t>
  </si>
  <si>
    <t>AMZ10357</t>
  </si>
  <si>
    <t>AMZ10358</t>
  </si>
  <si>
    <t>2025-03-11</t>
  </si>
  <si>
    <t>AMZ10359</t>
  </si>
  <si>
    <t>AMZ10360</t>
  </si>
  <si>
    <t>AMZ10361</t>
  </si>
  <si>
    <t>AMZ10362</t>
  </si>
  <si>
    <t>AMZ10363</t>
  </si>
  <si>
    <t>AMZ10364</t>
  </si>
  <si>
    <t>AMZ10365</t>
  </si>
  <si>
    <t>2025-10-18</t>
  </si>
  <si>
    <t>AMZ10366</t>
  </si>
  <si>
    <t>AMZ10367</t>
  </si>
  <si>
    <t>AMZ10368</t>
  </si>
  <si>
    <t>AMZ10369</t>
  </si>
  <si>
    <t>2025-01-26</t>
  </si>
  <si>
    <t>AMZ10370</t>
  </si>
  <si>
    <t>AMZ10371</t>
  </si>
  <si>
    <t>2025-10-02</t>
  </si>
  <si>
    <t>AMZ10372</t>
  </si>
  <si>
    <t>AMZ10373</t>
  </si>
  <si>
    <t>AMZ10374</t>
  </si>
  <si>
    <t>2025-01-19</t>
  </si>
  <si>
    <t>2025-01-20</t>
  </si>
  <si>
    <t>AMZ10375</t>
  </si>
  <si>
    <t>AMZ10376</t>
  </si>
  <si>
    <t>2025-05-14</t>
  </si>
  <si>
    <t>AMZ10377</t>
  </si>
  <si>
    <t>AMZ10378</t>
  </si>
  <si>
    <t>2025-12-24</t>
  </si>
  <si>
    <t>AMZ10379</t>
  </si>
  <si>
    <t>AMZ10380</t>
  </si>
  <si>
    <t>AMZ10381</t>
  </si>
  <si>
    <t>2025-11-02</t>
  </si>
  <si>
    <t>AMZ10382</t>
  </si>
  <si>
    <t>AMZ10383</t>
  </si>
  <si>
    <t>AMZ10384</t>
  </si>
  <si>
    <t>AMZ10385</t>
  </si>
  <si>
    <t>AMZ10386</t>
  </si>
  <si>
    <t>2025-04-12</t>
  </si>
  <si>
    <t>2025-04-16</t>
  </si>
  <si>
    <t>AMZ10387</t>
  </si>
  <si>
    <t>AMZ10388</t>
  </si>
  <si>
    <t>2025-07-25</t>
  </si>
  <si>
    <t>AMZ10389</t>
  </si>
  <si>
    <t>2025-05-20</t>
  </si>
  <si>
    <t>2025-05-26</t>
  </si>
  <si>
    <t>AMZ10390</t>
  </si>
  <si>
    <t>AMZ10391</t>
  </si>
  <si>
    <t>AMZ10392</t>
  </si>
  <si>
    <t>2025-09-30</t>
  </si>
  <si>
    <t>AMZ10393</t>
  </si>
  <si>
    <t>AMZ10394</t>
  </si>
  <si>
    <t>AMZ10395</t>
  </si>
  <si>
    <t>2025-07-06</t>
  </si>
  <si>
    <t>AMZ10396</t>
  </si>
  <si>
    <t>AMZ10397</t>
  </si>
  <si>
    <t>AMZ10398</t>
  </si>
  <si>
    <t>2025-08-21</t>
  </si>
  <si>
    <t>AMZ10399</t>
  </si>
  <si>
    <t>AMZ10400</t>
  </si>
  <si>
    <t>AMZ10401</t>
  </si>
  <si>
    <t>AMZ10402</t>
  </si>
  <si>
    <t>AMZ10403</t>
  </si>
  <si>
    <t>AMZ10404</t>
  </si>
  <si>
    <t>AMZ10405</t>
  </si>
  <si>
    <t>AMZ10406</t>
  </si>
  <si>
    <t>AMZ10407</t>
  </si>
  <si>
    <t>AMZ10408</t>
  </si>
  <si>
    <t>2025-07-22</t>
  </si>
  <si>
    <t>2025-07-23</t>
  </si>
  <si>
    <t>AMZ10409</t>
  </si>
  <si>
    <t>AMZ10410</t>
  </si>
  <si>
    <t>AMZ10411</t>
  </si>
  <si>
    <t>AMZ10412</t>
  </si>
  <si>
    <t>AMZ10413</t>
  </si>
  <si>
    <t>AMZ10414</t>
  </si>
  <si>
    <t>AMZ10415</t>
  </si>
  <si>
    <t>2025-11-07</t>
  </si>
  <si>
    <t>AMZ10416</t>
  </si>
  <si>
    <t>AMZ10417</t>
  </si>
  <si>
    <t>AMZ10418</t>
  </si>
  <si>
    <t>AMZ10419</t>
  </si>
  <si>
    <t>AMZ10420</t>
  </si>
  <si>
    <t>AMZ10421</t>
  </si>
  <si>
    <t>AMZ10422</t>
  </si>
  <si>
    <t>AMZ10423</t>
  </si>
  <si>
    <t>AMZ10424</t>
  </si>
  <si>
    <t>2025-12-30</t>
  </si>
  <si>
    <t>2026-01-01</t>
  </si>
  <si>
    <t>AMZ10425</t>
  </si>
  <si>
    <t>AMZ10426</t>
  </si>
  <si>
    <t>2025-06-04</t>
  </si>
  <si>
    <t>AMZ10427</t>
  </si>
  <si>
    <t>2025-09-26</t>
  </si>
  <si>
    <t>AMZ10428</t>
  </si>
  <si>
    <t>AMZ10429</t>
  </si>
  <si>
    <t>AMZ10430</t>
  </si>
  <si>
    <t>2025-02-02</t>
  </si>
  <si>
    <t>AMZ10431</t>
  </si>
  <si>
    <t>AMZ10432</t>
  </si>
  <si>
    <t>AMZ10433</t>
  </si>
  <si>
    <t>AMZ10434</t>
  </si>
  <si>
    <t>AMZ10435</t>
  </si>
  <si>
    <t>AMZ10436</t>
  </si>
  <si>
    <t>2025-03-08</t>
  </si>
  <si>
    <t>AMZ10437</t>
  </si>
  <si>
    <t>AMZ10438</t>
  </si>
  <si>
    <t>AMZ10439</t>
  </si>
  <si>
    <t>AMZ10440</t>
  </si>
  <si>
    <t>AMZ10441</t>
  </si>
  <si>
    <t>AMZ10442</t>
  </si>
  <si>
    <t>2025-04-20</t>
  </si>
  <si>
    <t>AMZ10443</t>
  </si>
  <si>
    <t>AMZ10444</t>
  </si>
  <si>
    <t>2025-12-31</t>
  </si>
  <si>
    <t>AMZ10445</t>
  </si>
  <si>
    <t>AMZ10446</t>
  </si>
  <si>
    <t>AMZ10447</t>
  </si>
  <si>
    <t>AMZ10448</t>
  </si>
  <si>
    <t>AMZ10449</t>
  </si>
  <si>
    <t>AMZ10450</t>
  </si>
  <si>
    <t>AMZ10451</t>
  </si>
  <si>
    <t>AMZ10452</t>
  </si>
  <si>
    <t>AMZ10453</t>
  </si>
  <si>
    <t>2025-12-07</t>
  </si>
  <si>
    <t>AMZ10454</t>
  </si>
  <si>
    <t>AMZ10455</t>
  </si>
  <si>
    <t>AMZ10456</t>
  </si>
  <si>
    <t>AMZ10457</t>
  </si>
  <si>
    <t>AMZ10458</t>
  </si>
  <si>
    <t>AMZ10459</t>
  </si>
  <si>
    <t>AMZ10460</t>
  </si>
  <si>
    <t>2025-09-20</t>
  </si>
  <si>
    <t>AMZ10461</t>
  </si>
  <si>
    <t>2025-11-25</t>
  </si>
  <si>
    <t>AMZ10462</t>
  </si>
  <si>
    <t>AMZ10463</t>
  </si>
  <si>
    <t>2025-08-05</t>
  </si>
  <si>
    <t>AMZ10464</t>
  </si>
  <si>
    <t>AMZ10465</t>
  </si>
  <si>
    <t>AMZ10466</t>
  </si>
  <si>
    <t>AMZ10467</t>
  </si>
  <si>
    <t>AMZ10468</t>
  </si>
  <si>
    <t>AMZ10469</t>
  </si>
  <si>
    <t>AMZ10470</t>
  </si>
  <si>
    <t>AMZ10471</t>
  </si>
  <si>
    <t>AMZ10472</t>
  </si>
  <si>
    <t>AMZ10473</t>
  </si>
  <si>
    <t>AMZ10474</t>
  </si>
  <si>
    <t>AMZ10475</t>
  </si>
  <si>
    <t>AMZ10476</t>
  </si>
  <si>
    <t>2025-09-18</t>
  </si>
  <si>
    <t>AMZ10477</t>
  </si>
  <si>
    <t>AMZ10478</t>
  </si>
  <si>
    <t>AMZ10479</t>
  </si>
  <si>
    <t>AMZ10480</t>
  </si>
  <si>
    <t>AMZ10481</t>
  </si>
  <si>
    <t>AMZ10482</t>
  </si>
  <si>
    <t>AMZ10483</t>
  </si>
  <si>
    <t>AMZ10484</t>
  </si>
  <si>
    <t>AMZ10485</t>
  </si>
  <si>
    <t>AMZ10486</t>
  </si>
  <si>
    <t>AMZ10487</t>
  </si>
  <si>
    <t>AMZ10488</t>
  </si>
  <si>
    <t>AMZ10489</t>
  </si>
  <si>
    <t>AMZ10490</t>
  </si>
  <si>
    <t>2025-09-03</t>
  </si>
  <si>
    <t>AMZ10491</t>
  </si>
  <si>
    <t>AMZ10492</t>
  </si>
  <si>
    <t>AMZ10493</t>
  </si>
  <si>
    <t>AMZ10494</t>
  </si>
  <si>
    <t>AMZ10495</t>
  </si>
  <si>
    <t>AMZ10496</t>
  </si>
  <si>
    <t>AMZ10497</t>
  </si>
  <si>
    <t>AMZ10498</t>
  </si>
  <si>
    <t>AMZ10499</t>
  </si>
  <si>
    <t>AMZ10500</t>
  </si>
  <si>
    <t>AMZ10501</t>
  </si>
  <si>
    <t>AMZ10502</t>
  </si>
  <si>
    <t>AMZ10503</t>
  </si>
  <si>
    <t>AMZ10504</t>
  </si>
  <si>
    <t>AMZ10505</t>
  </si>
  <si>
    <t>AMZ10506</t>
  </si>
  <si>
    <t>AMZ10507</t>
  </si>
  <si>
    <t>AMZ10508</t>
  </si>
  <si>
    <t>AMZ10509</t>
  </si>
  <si>
    <t>AMZ10510</t>
  </si>
  <si>
    <t>AMZ10511</t>
  </si>
  <si>
    <t>AMZ10512</t>
  </si>
  <si>
    <t>AMZ10513</t>
  </si>
  <si>
    <t>AMZ10514</t>
  </si>
  <si>
    <t>AMZ10515</t>
  </si>
  <si>
    <t>AMZ10516</t>
  </si>
  <si>
    <t>AMZ10517</t>
  </si>
  <si>
    <t>AMZ10518</t>
  </si>
  <si>
    <t>AMZ10519</t>
  </si>
  <si>
    <t>AMZ10520</t>
  </si>
  <si>
    <t>AMZ10521</t>
  </si>
  <si>
    <t>AMZ10522</t>
  </si>
  <si>
    <t>2025-03-03</t>
  </si>
  <si>
    <t>AMZ10523</t>
  </si>
  <si>
    <t>AMZ10524</t>
  </si>
  <si>
    <t>AMZ10525</t>
  </si>
  <si>
    <t>AMZ10526</t>
  </si>
  <si>
    <t>AMZ10527</t>
  </si>
  <si>
    <t>AMZ10528</t>
  </si>
  <si>
    <t>AMZ10529</t>
  </si>
  <si>
    <t>AMZ10530</t>
  </si>
  <si>
    <t>AMZ10531</t>
  </si>
  <si>
    <t>AMZ10532</t>
  </si>
  <si>
    <t>AMZ10533</t>
  </si>
  <si>
    <t>AMZ10534</t>
  </si>
  <si>
    <t>AMZ10535</t>
  </si>
  <si>
    <t>AMZ10536</t>
  </si>
  <si>
    <t>AMZ10537</t>
  </si>
  <si>
    <t>AMZ10538</t>
  </si>
  <si>
    <t>AMZ10539</t>
  </si>
  <si>
    <t>AMZ10540</t>
  </si>
  <si>
    <t>2025-10-04</t>
  </si>
  <si>
    <t>AMZ10541</t>
  </si>
  <si>
    <t>AMZ10542</t>
  </si>
  <si>
    <t>AMZ10543</t>
  </si>
  <si>
    <t>AMZ10544</t>
  </si>
  <si>
    <t>AMZ10545</t>
  </si>
  <si>
    <t>AMZ10546</t>
  </si>
  <si>
    <t>AMZ10547</t>
  </si>
  <si>
    <t>AMZ10548</t>
  </si>
  <si>
    <t>AMZ10549</t>
  </si>
  <si>
    <t>AMZ10550</t>
  </si>
  <si>
    <t>AMZ10551</t>
  </si>
  <si>
    <t>AMZ10552</t>
  </si>
  <si>
    <t>AMZ10553</t>
  </si>
  <si>
    <t>AMZ10554</t>
  </si>
  <si>
    <t>AMZ10555</t>
  </si>
  <si>
    <t>AMZ10556</t>
  </si>
  <si>
    <t>AMZ10557</t>
  </si>
  <si>
    <t>AMZ10558</t>
  </si>
  <si>
    <t>AMZ10559</t>
  </si>
  <si>
    <t>AMZ10560</t>
  </si>
  <si>
    <t>AMZ10561</t>
  </si>
  <si>
    <t>AMZ10562</t>
  </si>
  <si>
    <t>AMZ10563</t>
  </si>
  <si>
    <t>AMZ10564</t>
  </si>
  <si>
    <t>AMZ10565</t>
  </si>
  <si>
    <t>AMZ10566</t>
  </si>
  <si>
    <t>AMZ10567</t>
  </si>
  <si>
    <t>AMZ10568</t>
  </si>
  <si>
    <t>AMZ10569</t>
  </si>
  <si>
    <t>AMZ10570</t>
  </si>
  <si>
    <t>AMZ10571</t>
  </si>
  <si>
    <t>AMZ10572</t>
  </si>
  <si>
    <t>AMZ10573</t>
  </si>
  <si>
    <t>AMZ10574</t>
  </si>
  <si>
    <t>AMZ10575</t>
  </si>
  <si>
    <t>AMZ10576</t>
  </si>
  <si>
    <t>AMZ10577</t>
  </si>
  <si>
    <t>AMZ10578</t>
  </si>
  <si>
    <t>AMZ10579</t>
  </si>
  <si>
    <t>AMZ10580</t>
  </si>
  <si>
    <t>AMZ10581</t>
  </si>
  <si>
    <t>AMZ10582</t>
  </si>
  <si>
    <t>AMZ10583</t>
  </si>
  <si>
    <t>AMZ10584</t>
  </si>
  <si>
    <t>AMZ10585</t>
  </si>
  <si>
    <t>AMZ10586</t>
  </si>
  <si>
    <t>AMZ10587</t>
  </si>
  <si>
    <t>AMZ10588</t>
  </si>
  <si>
    <t>AMZ10589</t>
  </si>
  <si>
    <t>AMZ10590</t>
  </si>
  <si>
    <t>2025-05-01</t>
  </si>
  <si>
    <t>AMZ10591</t>
  </si>
  <si>
    <t>AMZ10592</t>
  </si>
  <si>
    <t>AMZ10593</t>
  </si>
  <si>
    <t>AMZ10594</t>
  </si>
  <si>
    <t>AMZ10595</t>
  </si>
  <si>
    <t>AMZ10596</t>
  </si>
  <si>
    <t>AMZ10597</t>
  </si>
  <si>
    <t>AMZ10598</t>
  </si>
  <si>
    <t>AMZ10599</t>
  </si>
  <si>
    <t>AMZ10600</t>
  </si>
  <si>
    <t>AMZ10601</t>
  </si>
  <si>
    <t>AMZ10602</t>
  </si>
  <si>
    <t>AMZ10603</t>
  </si>
  <si>
    <t>AMZ10604</t>
  </si>
  <si>
    <t>AMZ10605</t>
  </si>
  <si>
    <t>AMZ10606</t>
  </si>
  <si>
    <t>AMZ10607</t>
  </si>
  <si>
    <t>AMZ10608</t>
  </si>
  <si>
    <t>AMZ10609</t>
  </si>
  <si>
    <t>AMZ10610</t>
  </si>
  <si>
    <t>AMZ10611</t>
  </si>
  <si>
    <t>AMZ10612</t>
  </si>
  <si>
    <t>AMZ10613</t>
  </si>
  <si>
    <t>AMZ10614</t>
  </si>
  <si>
    <t>AMZ10615</t>
  </si>
  <si>
    <t>2025-06-19</t>
  </si>
  <si>
    <t>AMZ10616</t>
  </si>
  <si>
    <t>AMZ10617</t>
  </si>
  <si>
    <t>AMZ10618</t>
  </si>
  <si>
    <t>AMZ10619</t>
  </si>
  <si>
    <t>AMZ10620</t>
  </si>
  <si>
    <t>AMZ10621</t>
  </si>
  <si>
    <t>AMZ10622</t>
  </si>
  <si>
    <t>AMZ10623</t>
  </si>
  <si>
    <t>AMZ10624</t>
  </si>
  <si>
    <t>AMZ10625</t>
  </si>
  <si>
    <t>2025-06-25</t>
  </si>
  <si>
    <t>AMZ10626</t>
  </si>
  <si>
    <t>AMZ10627</t>
  </si>
  <si>
    <t>AMZ10628</t>
  </si>
  <si>
    <t>AMZ10629</t>
  </si>
  <si>
    <t>AMZ10630</t>
  </si>
  <si>
    <t>AMZ10631</t>
  </si>
  <si>
    <t>AMZ10632</t>
  </si>
  <si>
    <t>AMZ10633</t>
  </si>
  <si>
    <t>2025-06-23</t>
  </si>
  <si>
    <t>AMZ10634</t>
  </si>
  <si>
    <t>AMZ10635</t>
  </si>
  <si>
    <t>AMZ10636</t>
  </si>
  <si>
    <t>AMZ10637</t>
  </si>
  <si>
    <t>2025-11-24</t>
  </si>
  <si>
    <t>AMZ10638</t>
  </si>
  <si>
    <t>AMZ10639</t>
  </si>
  <si>
    <t>2025-04-24</t>
  </si>
  <si>
    <t>AMZ10640</t>
  </si>
  <si>
    <t>AMZ10641</t>
  </si>
  <si>
    <t>AMZ10642</t>
  </si>
  <si>
    <t>AMZ10643</t>
  </si>
  <si>
    <t>AMZ10644</t>
  </si>
  <si>
    <t>AMZ10645</t>
  </si>
  <si>
    <t>AMZ10646</t>
  </si>
  <si>
    <t>AMZ10647</t>
  </si>
  <si>
    <t>AMZ10648</t>
  </si>
  <si>
    <t>AMZ10649</t>
  </si>
  <si>
    <t>AMZ10650</t>
  </si>
  <si>
    <t>AMZ10651</t>
  </si>
  <si>
    <t>AMZ10652</t>
  </si>
  <si>
    <t>AMZ10653</t>
  </si>
  <si>
    <t>AMZ10654</t>
  </si>
  <si>
    <t>AMZ10655</t>
  </si>
  <si>
    <t>AMZ10656</t>
  </si>
  <si>
    <t>AMZ10657</t>
  </si>
  <si>
    <t>AMZ10658</t>
  </si>
  <si>
    <t>AMZ10659</t>
  </si>
  <si>
    <t>AMZ10660</t>
  </si>
  <si>
    <t>AMZ10661</t>
  </si>
  <si>
    <t>AMZ10662</t>
  </si>
  <si>
    <t>AMZ10663</t>
  </si>
  <si>
    <t>AMZ10664</t>
  </si>
  <si>
    <t>AMZ10665</t>
  </si>
  <si>
    <t>AMZ10666</t>
  </si>
  <si>
    <t>AMZ10667</t>
  </si>
  <si>
    <t>AMZ10668</t>
  </si>
  <si>
    <t>AMZ10669</t>
  </si>
  <si>
    <t>AMZ10670</t>
  </si>
  <si>
    <t>AMZ10671</t>
  </si>
  <si>
    <t>AMZ10672</t>
  </si>
  <si>
    <t>AMZ10673</t>
  </si>
  <si>
    <t>AMZ10674</t>
  </si>
  <si>
    <t>AMZ10675</t>
  </si>
  <si>
    <t>AMZ10676</t>
  </si>
  <si>
    <t>2025-09-06</t>
  </si>
  <si>
    <t>AMZ10677</t>
  </si>
  <si>
    <t>AMZ10678</t>
  </si>
  <si>
    <t>AMZ10679</t>
  </si>
  <si>
    <t>AMZ10680</t>
  </si>
  <si>
    <t>AMZ10681</t>
  </si>
  <si>
    <t>AMZ10682</t>
  </si>
  <si>
    <t>AMZ10683</t>
  </si>
  <si>
    <t>AMZ10684</t>
  </si>
  <si>
    <t>AMZ10685</t>
  </si>
  <si>
    <t>AMZ10686</t>
  </si>
  <si>
    <t>AMZ10687</t>
  </si>
  <si>
    <t>AMZ10688</t>
  </si>
  <si>
    <t>AMZ10689</t>
  </si>
  <si>
    <t>AMZ10690</t>
  </si>
  <si>
    <t>AMZ10691</t>
  </si>
  <si>
    <t>AMZ10692</t>
  </si>
  <si>
    <t>AMZ10693</t>
  </si>
  <si>
    <t>AMZ10694</t>
  </si>
  <si>
    <t>AMZ10695</t>
  </si>
  <si>
    <t>2025-09-15</t>
  </si>
  <si>
    <t>AMZ10696</t>
  </si>
  <si>
    <t>AMZ10697</t>
  </si>
  <si>
    <t>AMZ10698</t>
  </si>
  <si>
    <t>AMZ10699</t>
  </si>
  <si>
    <t>AMZ10700</t>
  </si>
  <si>
    <t>AMZ10701</t>
  </si>
  <si>
    <t>AMZ10702</t>
  </si>
  <si>
    <t>AMZ10703</t>
  </si>
  <si>
    <t>AMZ10704</t>
  </si>
  <si>
    <t>AMZ10705</t>
  </si>
  <si>
    <t>AMZ10706</t>
  </si>
  <si>
    <t>AMZ10707</t>
  </si>
  <si>
    <t>AMZ10708</t>
  </si>
  <si>
    <t>AMZ10709</t>
  </si>
  <si>
    <t>AMZ10710</t>
  </si>
  <si>
    <t>AMZ10711</t>
  </si>
  <si>
    <t>AMZ10712</t>
  </si>
  <si>
    <t>2025-08-17</t>
  </si>
  <si>
    <t>AMZ10713</t>
  </si>
  <si>
    <t>AMZ10714</t>
  </si>
  <si>
    <t>AMZ10715</t>
  </si>
  <si>
    <t>AMZ10716</t>
  </si>
  <si>
    <t>AMZ10717</t>
  </si>
  <si>
    <t>AMZ10718</t>
  </si>
  <si>
    <t>AMZ10719</t>
  </si>
  <si>
    <t>AMZ10720</t>
  </si>
  <si>
    <t>AMZ10721</t>
  </si>
  <si>
    <t>AMZ10722</t>
  </si>
  <si>
    <t>AMZ10723</t>
  </si>
  <si>
    <t>AMZ10724</t>
  </si>
  <si>
    <t>2025-11-15</t>
  </si>
  <si>
    <t>AMZ10725</t>
  </si>
  <si>
    <t>AMZ10726</t>
  </si>
  <si>
    <t>AMZ10727</t>
  </si>
  <si>
    <t>AMZ10728</t>
  </si>
  <si>
    <t>AMZ10729</t>
  </si>
  <si>
    <t>AMZ10730</t>
  </si>
  <si>
    <t>AMZ10731</t>
  </si>
  <si>
    <t>AMZ10732</t>
  </si>
  <si>
    <t>AMZ10733</t>
  </si>
  <si>
    <t>AMZ10734</t>
  </si>
  <si>
    <t>AMZ10735</t>
  </si>
  <si>
    <t>AMZ10736</t>
  </si>
  <si>
    <t>AMZ10737</t>
  </si>
  <si>
    <t>AMZ10738</t>
  </si>
  <si>
    <t>AMZ10739</t>
  </si>
  <si>
    <t>AMZ10740</t>
  </si>
  <si>
    <t>AMZ10741</t>
  </si>
  <si>
    <t>AMZ10742</t>
  </si>
  <si>
    <t>AMZ10743</t>
  </si>
  <si>
    <t>AMZ10744</t>
  </si>
  <si>
    <t>AMZ10745</t>
  </si>
  <si>
    <t>2025-06-22</t>
  </si>
  <si>
    <t>AMZ10746</t>
  </si>
  <si>
    <t>AMZ10747</t>
  </si>
  <si>
    <t>AMZ10748</t>
  </si>
  <si>
    <t>AMZ10749</t>
  </si>
  <si>
    <t>AMZ10750</t>
  </si>
  <si>
    <t>AMZ10751</t>
  </si>
  <si>
    <t>AMZ10752</t>
  </si>
  <si>
    <t>AMZ10753</t>
  </si>
  <si>
    <t>AMZ10754</t>
  </si>
  <si>
    <t>AMZ10755</t>
  </si>
  <si>
    <t>AMZ10756</t>
  </si>
  <si>
    <t>AMZ10757</t>
  </si>
  <si>
    <t>AMZ10758</t>
  </si>
  <si>
    <t>AMZ10759</t>
  </si>
  <si>
    <t>AMZ10760</t>
  </si>
  <si>
    <t>AMZ10761</t>
  </si>
  <si>
    <t>AMZ10762</t>
  </si>
  <si>
    <t>AMZ10763</t>
  </si>
  <si>
    <t>AMZ10764</t>
  </si>
  <si>
    <t>AMZ10765</t>
  </si>
  <si>
    <t>AMZ10766</t>
  </si>
  <si>
    <t>AMZ10767</t>
  </si>
  <si>
    <t>AMZ10768</t>
  </si>
  <si>
    <t>AMZ10769</t>
  </si>
  <si>
    <t>2025-08-28</t>
  </si>
  <si>
    <t>AMZ10770</t>
  </si>
  <si>
    <t>AMZ10771</t>
  </si>
  <si>
    <t>AMZ10772</t>
  </si>
  <si>
    <t>AMZ10773</t>
  </si>
  <si>
    <t>AMZ10774</t>
  </si>
  <si>
    <t>AMZ10775</t>
  </si>
  <si>
    <t>AMZ10776</t>
  </si>
  <si>
    <t>AMZ10777</t>
  </si>
  <si>
    <t>AMZ10778</t>
  </si>
  <si>
    <t>AMZ10779</t>
  </si>
  <si>
    <t>AMZ10780</t>
  </si>
  <si>
    <t>AMZ10781</t>
  </si>
  <si>
    <t>AMZ10782</t>
  </si>
  <si>
    <t>AMZ10783</t>
  </si>
  <si>
    <t>AMZ10784</t>
  </si>
  <si>
    <t>AMZ10785</t>
  </si>
  <si>
    <t>AMZ10786</t>
  </si>
  <si>
    <t>AMZ10787</t>
  </si>
  <si>
    <t>AMZ10788</t>
  </si>
  <si>
    <t>AMZ10789</t>
  </si>
  <si>
    <t>AMZ10790</t>
  </si>
  <si>
    <t>AMZ10791</t>
  </si>
  <si>
    <t>AMZ10792</t>
  </si>
  <si>
    <t>AMZ10793</t>
  </si>
  <si>
    <t>AMZ10794</t>
  </si>
  <si>
    <t>AMZ10795</t>
  </si>
  <si>
    <t>AMZ10796</t>
  </si>
  <si>
    <t>AMZ10797</t>
  </si>
  <si>
    <t>AMZ10798</t>
  </si>
  <si>
    <t>2025-12-09</t>
  </si>
  <si>
    <t>AMZ10799</t>
  </si>
  <si>
    <t>AMZ10800</t>
  </si>
  <si>
    <t>AMZ10801</t>
  </si>
  <si>
    <t>AMZ10802</t>
  </si>
  <si>
    <t>AMZ10803</t>
  </si>
  <si>
    <t>AMZ10804</t>
  </si>
  <si>
    <t>AMZ10805</t>
  </si>
  <si>
    <t>AMZ10806</t>
  </si>
  <si>
    <t>AMZ10807</t>
  </si>
  <si>
    <t>AMZ10808</t>
  </si>
  <si>
    <t>AMZ10809</t>
  </si>
  <si>
    <t>AMZ10810</t>
  </si>
  <si>
    <t>AMZ10811</t>
  </si>
  <si>
    <t>AMZ10812</t>
  </si>
  <si>
    <t>AMZ10813</t>
  </si>
  <si>
    <t>AMZ10814</t>
  </si>
  <si>
    <t>AMZ10815</t>
  </si>
  <si>
    <t>AMZ10816</t>
  </si>
  <si>
    <t>AMZ10817</t>
  </si>
  <si>
    <t>AMZ10818</t>
  </si>
  <si>
    <t>AMZ10819</t>
  </si>
  <si>
    <t>AMZ10820</t>
  </si>
  <si>
    <t>AMZ10821</t>
  </si>
  <si>
    <t>AMZ10822</t>
  </si>
  <si>
    <t>AMZ10823</t>
  </si>
  <si>
    <t>AMZ10824</t>
  </si>
  <si>
    <t>AMZ10825</t>
  </si>
  <si>
    <t>AMZ10826</t>
  </si>
  <si>
    <t>AMZ10827</t>
  </si>
  <si>
    <t>AMZ10828</t>
  </si>
  <si>
    <t>AMZ10829</t>
  </si>
  <si>
    <t>AMZ10830</t>
  </si>
  <si>
    <t>AMZ10831</t>
  </si>
  <si>
    <t>AMZ10832</t>
  </si>
  <si>
    <t>AMZ10833</t>
  </si>
  <si>
    <t>AMZ10834</t>
  </si>
  <si>
    <t>AMZ10835</t>
  </si>
  <si>
    <t>AMZ10836</t>
  </si>
  <si>
    <t>AMZ10837</t>
  </si>
  <si>
    <t>AMZ10838</t>
  </si>
  <si>
    <t>AMZ10839</t>
  </si>
  <si>
    <t>AMZ10840</t>
  </si>
  <si>
    <t>AMZ10841</t>
  </si>
  <si>
    <t>AMZ10842</t>
  </si>
  <si>
    <t>AMZ10843</t>
  </si>
  <si>
    <t>AMZ10844</t>
  </si>
  <si>
    <t>AMZ10845</t>
  </si>
  <si>
    <t>AMZ10846</t>
  </si>
  <si>
    <t>AMZ10847</t>
  </si>
  <si>
    <t>AMZ10848</t>
  </si>
  <si>
    <t>AMZ10849</t>
  </si>
  <si>
    <t>AMZ10850</t>
  </si>
  <si>
    <t>AMZ10851</t>
  </si>
  <si>
    <t>AMZ10852</t>
  </si>
  <si>
    <t>AMZ10853</t>
  </si>
  <si>
    <t>AMZ10854</t>
  </si>
  <si>
    <t>AMZ10855</t>
  </si>
  <si>
    <t>AMZ10856</t>
  </si>
  <si>
    <t>AMZ10857</t>
  </si>
  <si>
    <t>AMZ10858</t>
  </si>
  <si>
    <t>AMZ10859</t>
  </si>
  <si>
    <t>AMZ10860</t>
  </si>
  <si>
    <t>AMZ10861</t>
  </si>
  <si>
    <t>AMZ10862</t>
  </si>
  <si>
    <t>AMZ10863</t>
  </si>
  <si>
    <t>AMZ10864</t>
  </si>
  <si>
    <t>AMZ10865</t>
  </si>
  <si>
    <t>AMZ10866</t>
  </si>
  <si>
    <t>AMZ10867</t>
  </si>
  <si>
    <t>AMZ10868</t>
  </si>
  <si>
    <t>AMZ10869</t>
  </si>
  <si>
    <t>AMZ10870</t>
  </si>
  <si>
    <t>AMZ10871</t>
  </si>
  <si>
    <t>2025-07-04</t>
  </si>
  <si>
    <t>AMZ10872</t>
  </si>
  <si>
    <t>AMZ10873</t>
  </si>
  <si>
    <t>AMZ10874</t>
  </si>
  <si>
    <t>AMZ10875</t>
  </si>
  <si>
    <t>AMZ10876</t>
  </si>
  <si>
    <t>AMZ10877</t>
  </si>
  <si>
    <t>AMZ10878</t>
  </si>
  <si>
    <t>AMZ10879</t>
  </si>
  <si>
    <t>AMZ10880</t>
  </si>
  <si>
    <t>AMZ10881</t>
  </si>
  <si>
    <t>AMZ10882</t>
  </si>
  <si>
    <t>AMZ10883</t>
  </si>
  <si>
    <t>AMZ10884</t>
  </si>
  <si>
    <t>AMZ10885</t>
  </si>
  <si>
    <t>AMZ10886</t>
  </si>
  <si>
    <t>AMZ10887</t>
  </si>
  <si>
    <t>AMZ10888</t>
  </si>
  <si>
    <t>AMZ10889</t>
  </si>
  <si>
    <t>AMZ10890</t>
  </si>
  <si>
    <t>AMZ10891</t>
  </si>
  <si>
    <t>2025-03-04</t>
  </si>
  <si>
    <t>AMZ10892</t>
  </si>
  <si>
    <t>AMZ10893</t>
  </si>
  <si>
    <t>AMZ10894</t>
  </si>
  <si>
    <t>AMZ10895</t>
  </si>
  <si>
    <t>AMZ10896</t>
  </si>
  <si>
    <t>AMZ10897</t>
  </si>
  <si>
    <t>AMZ10898</t>
  </si>
  <si>
    <t>AMZ10899</t>
  </si>
  <si>
    <t>AMZ10900</t>
  </si>
  <si>
    <t>2025-02-25</t>
  </si>
  <si>
    <t>AMZ10901</t>
  </si>
  <si>
    <t>AMZ10902</t>
  </si>
  <si>
    <t>AMZ10903</t>
  </si>
  <si>
    <t>AMZ10904</t>
  </si>
  <si>
    <t>AMZ10905</t>
  </si>
  <si>
    <t>AMZ10906</t>
  </si>
  <si>
    <t>AMZ10907</t>
  </si>
  <si>
    <t>AMZ10908</t>
  </si>
  <si>
    <t>AMZ10909</t>
  </si>
  <si>
    <t>AMZ10910</t>
  </si>
  <si>
    <t>AMZ10911</t>
  </si>
  <si>
    <t>AMZ10912</t>
  </si>
  <si>
    <t>AMZ10913</t>
  </si>
  <si>
    <t>AMZ10914</t>
  </si>
  <si>
    <t>AMZ10915</t>
  </si>
  <si>
    <t>AMZ10916</t>
  </si>
  <si>
    <t>AMZ10917</t>
  </si>
  <si>
    <t>AMZ10918</t>
  </si>
  <si>
    <t>AMZ10919</t>
  </si>
  <si>
    <t>AMZ10920</t>
  </si>
  <si>
    <t>AMZ10921</t>
  </si>
  <si>
    <t>AMZ10922</t>
  </si>
  <si>
    <t>AMZ10923</t>
  </si>
  <si>
    <t>AMZ10924</t>
  </si>
  <si>
    <t>AMZ10925</t>
  </si>
  <si>
    <t>AMZ10926</t>
  </si>
  <si>
    <t>AMZ10927</t>
  </si>
  <si>
    <t>AMZ10928</t>
  </si>
  <si>
    <t>AMZ10929</t>
  </si>
  <si>
    <t>AMZ10930</t>
  </si>
  <si>
    <t>AMZ10931</t>
  </si>
  <si>
    <t>AMZ10932</t>
  </si>
  <si>
    <t>AMZ10933</t>
  </si>
  <si>
    <t>AMZ10934</t>
  </si>
  <si>
    <t>AMZ10935</t>
  </si>
  <si>
    <t>AMZ10936</t>
  </si>
  <si>
    <t>AMZ10937</t>
  </si>
  <si>
    <t>AMZ10938</t>
  </si>
  <si>
    <t>AMZ10939</t>
  </si>
  <si>
    <t>AMZ10940</t>
  </si>
  <si>
    <t>2025-06-26</t>
  </si>
  <si>
    <t>AMZ10941</t>
  </si>
  <si>
    <t>AMZ10942</t>
  </si>
  <si>
    <t>AMZ10943</t>
  </si>
  <si>
    <t>AMZ10944</t>
  </si>
  <si>
    <t>AMZ10945</t>
  </si>
  <si>
    <t>AMZ10946</t>
  </si>
  <si>
    <t>AMZ10947</t>
  </si>
  <si>
    <t>AMZ10948</t>
  </si>
  <si>
    <t>AMZ10949</t>
  </si>
  <si>
    <t>AMZ10950</t>
  </si>
  <si>
    <t>AMZ10951</t>
  </si>
  <si>
    <t>AMZ10952</t>
  </si>
  <si>
    <t>AMZ10953</t>
  </si>
  <si>
    <t>AMZ10954</t>
  </si>
  <si>
    <t>AMZ10955</t>
  </si>
  <si>
    <t>AMZ10956</t>
  </si>
  <si>
    <t>AMZ10957</t>
  </si>
  <si>
    <t>AMZ10958</t>
  </si>
  <si>
    <t>AMZ10959</t>
  </si>
  <si>
    <t>AMZ10960</t>
  </si>
  <si>
    <t>AMZ10961</t>
  </si>
  <si>
    <t>AMZ10962</t>
  </si>
  <si>
    <t>AMZ10963</t>
  </si>
  <si>
    <t>AMZ10964</t>
  </si>
  <si>
    <t>AMZ10965</t>
  </si>
  <si>
    <t>AMZ10966</t>
  </si>
  <si>
    <t>AMZ10967</t>
  </si>
  <si>
    <t>AMZ10968</t>
  </si>
  <si>
    <t>AMZ10969</t>
  </si>
  <si>
    <t>AMZ10970</t>
  </si>
  <si>
    <t>AMZ10971</t>
  </si>
  <si>
    <t>AMZ10972</t>
  </si>
  <si>
    <t>AMZ10973</t>
  </si>
  <si>
    <t>AMZ10974</t>
  </si>
  <si>
    <t>AMZ10975</t>
  </si>
  <si>
    <t>AMZ10976</t>
  </si>
  <si>
    <t>AMZ10977</t>
  </si>
  <si>
    <t>AMZ10978</t>
  </si>
  <si>
    <t>AMZ10979</t>
  </si>
  <si>
    <t>AMZ10980</t>
  </si>
  <si>
    <t>AMZ10981</t>
  </si>
  <si>
    <t>AMZ10982</t>
  </si>
  <si>
    <t>AMZ10983</t>
  </si>
  <si>
    <t>AMZ10984</t>
  </si>
  <si>
    <t>AMZ10985</t>
  </si>
  <si>
    <t>AMZ10986</t>
  </si>
  <si>
    <t>2025-08-04</t>
  </si>
  <si>
    <t>AMZ10987</t>
  </si>
  <si>
    <t>AMZ10988</t>
  </si>
  <si>
    <t>AMZ10989</t>
  </si>
  <si>
    <t>AMZ10990</t>
  </si>
  <si>
    <t>AMZ10991</t>
  </si>
  <si>
    <t>AMZ10992</t>
  </si>
  <si>
    <t>AMZ10993</t>
  </si>
  <si>
    <t>AMZ10994</t>
  </si>
  <si>
    <t>AMZ10995</t>
  </si>
  <si>
    <t>AMZ10996</t>
  </si>
  <si>
    <t>AMZ10997</t>
  </si>
  <si>
    <t>AMZ10998</t>
  </si>
  <si>
    <t>AMZ10999</t>
  </si>
  <si>
    <t>AMZ11000</t>
  </si>
  <si>
    <t>AMZ11001</t>
  </si>
  <si>
    <t>AMAZON SALES DASHBOARD</t>
  </si>
  <si>
    <t>TOTAL SALES</t>
  </si>
  <si>
    <t>TOTAL PROFIT</t>
  </si>
  <si>
    <t>TOTAL ORDERS</t>
  </si>
  <si>
    <t>AVERAGE SALES</t>
  </si>
  <si>
    <t>Row Labels</t>
  </si>
  <si>
    <t>Grand Total</t>
  </si>
  <si>
    <t>Sum of Sales</t>
  </si>
  <si>
    <t>Group1</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</si>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</sst>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sz val="11"/>
      <color theme="1"/>
      <name val="Calibri"/>
      <family val="2"/>
      <scheme val="minor"/>
    </font>
    <font>
      <b/>
      <sz val="18"/>
      <color theme="1"/>
      <name val="Calibri"/>
      <family val="2"/>
      <scheme val="minor"/>
    </font>
    <font>
      <b/>
      <sz val="14"/>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4" fillId="2" borderId="1" xfId="0" applyFont="1" applyFill="1" applyBorder="1" applyAlignment="1">
      <alignment horizontal="center"/>
    </xf>
    <xf numFmtId="0" fontId="0" fillId="2" borderId="0" xfId="0" applyFill="1"/>
    <xf numFmtId="0" fontId="2" fillId="2" borderId="1" xfId="0" applyFont="1" applyFill="1" applyBorder="1"/>
    <xf numFmtId="0" fontId="2" fillId="2" borderId="0" xfId="0" applyFont="1" applyFill="1"/>
    <xf numFmtId="164" fontId="3" fillId="2" borderId="1" xfId="1" applyNumberFormat="1" applyFont="1" applyFill="1" applyBorder="1"/>
    <xf numFmtId="164" fontId="3" fillId="2" borderId="1" xfId="0" applyNumberFormat="1" applyFont="1" applyFill="1" applyBorder="1"/>
    <xf numFmtId="0" fontId="3" fillId="2" borderId="1" xfId="0" applyFont="1" applyFill="1" applyBorder="1"/>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By Category</a:t>
            </a:r>
          </a:p>
          <a:p>
            <a:pPr>
              <a:defRPr/>
            </a:pPr>
            <a:endParaRPr lang="en-IN"/>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c:f>
              <c:strCache>
                <c:ptCount val="1"/>
                <c:pt idx="0">
                  <c:v>Total</c:v>
                </c:pt>
              </c:strCache>
            </c:strRef>
          </c:tx>
          <c:spPr>
            <a:solidFill>
              <a:schemeClr val="accent1"/>
            </a:solidFill>
            <a:ln>
              <a:noFill/>
            </a:ln>
            <a:effectLst/>
            <a:sp3d/>
          </c:spPr>
          <c:invertIfNegative val="0"/>
          <c:cat>
            <c:strRef>
              <c:f>Sheet2!$A$4:$A$9</c:f>
              <c:strCache>
                <c:ptCount val="5"/>
                <c:pt idx="0">
                  <c:v>Bags</c:v>
                </c:pt>
                <c:pt idx="1">
                  <c:v>Electronics</c:v>
                </c:pt>
                <c:pt idx="2">
                  <c:v>Furniture</c:v>
                </c:pt>
                <c:pt idx="3">
                  <c:v>Home</c:v>
                </c:pt>
                <c:pt idx="4">
                  <c:v>Office Supplies</c:v>
                </c:pt>
              </c:strCache>
            </c:strRef>
          </c:cat>
          <c:val>
            <c:numRef>
              <c:f>Sheet2!$B$4:$B$9</c:f>
              <c:numCache>
                <c:formatCode>General</c:formatCode>
                <c:ptCount val="5"/>
                <c:pt idx="0">
                  <c:v>99720</c:v>
                </c:pt>
                <c:pt idx="1">
                  <c:v>4268690</c:v>
                </c:pt>
                <c:pt idx="2">
                  <c:v>1138050</c:v>
                </c:pt>
                <c:pt idx="3">
                  <c:v>28957.5</c:v>
                </c:pt>
                <c:pt idx="4">
                  <c:v>26582.5</c:v>
                </c:pt>
              </c:numCache>
            </c:numRef>
          </c:val>
          <c:extLst>
            <c:ext xmlns:c16="http://schemas.microsoft.com/office/drawing/2014/chart" uri="{C3380CC4-5D6E-409C-BE32-E72D297353CC}">
              <c16:uniqueId val="{00000000-591F-4140-B9D6-DC68832E73E3}"/>
            </c:ext>
          </c:extLst>
        </c:ser>
        <c:dLbls>
          <c:showLegendKey val="0"/>
          <c:showVal val="0"/>
          <c:showCatName val="0"/>
          <c:showSerName val="0"/>
          <c:showPercent val="0"/>
          <c:showBubbleSize val="0"/>
        </c:dLbls>
        <c:gapWidth val="219"/>
        <c:shape val="box"/>
        <c:axId val="1844016351"/>
        <c:axId val="1844017311"/>
        <c:axId val="451604384"/>
      </c:bar3DChart>
      <c:catAx>
        <c:axId val="184401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4017311"/>
        <c:crosses val="autoZero"/>
        <c:auto val="1"/>
        <c:lblAlgn val="ctr"/>
        <c:lblOffset val="100"/>
        <c:noMultiLvlLbl val="0"/>
      </c:catAx>
      <c:valAx>
        <c:axId val="184401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4016351"/>
        <c:crosses val="autoZero"/>
        <c:crossBetween val="between"/>
      </c:valAx>
      <c:serAx>
        <c:axId val="4516043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4017311"/>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a:t>
            </a:r>
            <a:r>
              <a:rPr lang="en-IN" baseline="0">
                <a:solidFill>
                  <a:schemeClr val="tx1"/>
                </a:solidFill>
              </a:rPr>
              <a:t> By Region</a:t>
            </a:r>
            <a:endParaRPr lang="en-IN">
              <a:solidFill>
                <a:schemeClr val="tx1"/>
              </a:solidFill>
            </a:endParaRP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solidFill>
              <a:schemeClr val="accent1"/>
            </a:solidFill>
            <a:ln>
              <a:noFill/>
            </a:ln>
            <a:effectLst/>
            <a:sp3d/>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1250167.5</c:v>
                </c:pt>
                <c:pt idx="1">
                  <c:v>1112150</c:v>
                </c:pt>
                <c:pt idx="2">
                  <c:v>1555372.5</c:v>
                </c:pt>
                <c:pt idx="3">
                  <c:v>1644310</c:v>
                </c:pt>
              </c:numCache>
            </c:numRef>
          </c:val>
          <c:extLst>
            <c:ext xmlns:c16="http://schemas.microsoft.com/office/drawing/2014/chart" uri="{C3380CC4-5D6E-409C-BE32-E72D297353CC}">
              <c16:uniqueId val="{00000000-192E-4C19-9AE2-723E839A67B4}"/>
            </c:ext>
          </c:extLst>
        </c:ser>
        <c:dLbls>
          <c:showLegendKey val="0"/>
          <c:showVal val="0"/>
          <c:showCatName val="0"/>
          <c:showSerName val="0"/>
          <c:showPercent val="0"/>
          <c:showBubbleSize val="0"/>
        </c:dLbls>
        <c:gapWidth val="182"/>
        <c:shape val="box"/>
        <c:axId val="2048587103"/>
        <c:axId val="2048594303"/>
        <c:axId val="0"/>
      </c:bar3DChart>
      <c:catAx>
        <c:axId val="204858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8594303"/>
        <c:crosses val="autoZero"/>
        <c:auto val="1"/>
        <c:lblAlgn val="ctr"/>
        <c:lblOffset val="100"/>
        <c:noMultiLvlLbl val="0"/>
      </c:catAx>
      <c:valAx>
        <c:axId val="20485943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858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Sales Trend</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Sheet4!$B$3</c:f>
              <c:strCache>
                <c:ptCount val="1"/>
                <c:pt idx="0">
                  <c:v>Total</c:v>
                </c:pt>
              </c:strCache>
            </c:strRef>
          </c:tx>
          <c:spPr>
            <a:solidFill>
              <a:schemeClr val="accent1"/>
            </a:solidFill>
            <a:ln>
              <a:noFill/>
            </a:ln>
            <a:effectLst/>
            <a:sp3d/>
          </c:spPr>
          <c:cat>
            <c:multiLvlStrRef>
              <c:f>Sheet4!$A$4:$A$179</c:f>
              <c:multiLvlStrCache>
                <c:ptCount val="174"/>
                <c:lvl>
                  <c:pt idx="0">
                    <c:v>2025-01-02</c:v>
                  </c:pt>
                  <c:pt idx="1">
                    <c:v>2025-01-03</c:v>
                  </c:pt>
                  <c:pt idx="2">
                    <c:v>2025-01-04</c:v>
                  </c:pt>
                  <c:pt idx="3">
                    <c:v>2025-01-07</c:v>
                  </c:pt>
                  <c:pt idx="4">
                    <c:v>2025-01-09</c:v>
                  </c:pt>
                  <c:pt idx="5">
                    <c:v>2025-01-10</c:v>
                  </c:pt>
                  <c:pt idx="6">
                    <c:v>2025-01-17</c:v>
                  </c:pt>
                  <c:pt idx="7">
                    <c:v>2025-01-18</c:v>
                  </c:pt>
                  <c:pt idx="8">
                    <c:v>2025-01-19</c:v>
                  </c:pt>
                  <c:pt idx="9">
                    <c:v>2025-01-20</c:v>
                  </c:pt>
                  <c:pt idx="10">
                    <c:v>2025-01-21</c:v>
                  </c:pt>
                  <c:pt idx="11">
                    <c:v>2025-01-22</c:v>
                  </c:pt>
                  <c:pt idx="12">
                    <c:v>2025-01-23</c:v>
                  </c:pt>
                  <c:pt idx="13">
                    <c:v>2025-01-26</c:v>
                  </c:pt>
                  <c:pt idx="14">
                    <c:v>2025-01-27</c:v>
                  </c:pt>
                  <c:pt idx="15">
                    <c:v>2025-01-30</c:v>
                  </c:pt>
                  <c:pt idx="16">
                    <c:v>2025-01-31</c:v>
                  </c:pt>
                  <c:pt idx="17">
                    <c:v>2025-02-01</c:v>
                  </c:pt>
                  <c:pt idx="18">
                    <c:v>2025-02-03</c:v>
                  </c:pt>
                  <c:pt idx="19">
                    <c:v>2025-02-05</c:v>
                  </c:pt>
                  <c:pt idx="20">
                    <c:v>2025-02-06</c:v>
                  </c:pt>
                  <c:pt idx="21">
                    <c:v>2025-02-15</c:v>
                  </c:pt>
                  <c:pt idx="22">
                    <c:v>2025-02-16</c:v>
                  </c:pt>
                  <c:pt idx="23">
                    <c:v>2025-02-17</c:v>
                  </c:pt>
                  <c:pt idx="24">
                    <c:v>2025-02-18</c:v>
                  </c:pt>
                  <c:pt idx="25">
                    <c:v>2025-02-19</c:v>
                  </c:pt>
                  <c:pt idx="26">
                    <c:v>2025-02-23</c:v>
                  </c:pt>
                  <c:pt idx="27">
                    <c:v>2025-02-24</c:v>
                  </c:pt>
                  <c:pt idx="28">
                    <c:v>2025-02-26</c:v>
                  </c:pt>
                  <c:pt idx="29">
                    <c:v>2025-03-03</c:v>
                  </c:pt>
                  <c:pt idx="30">
                    <c:v>2025-03-05</c:v>
                  </c:pt>
                  <c:pt idx="31">
                    <c:v>2025-03-06</c:v>
                  </c:pt>
                  <c:pt idx="32">
                    <c:v>2025-03-11</c:v>
                  </c:pt>
                  <c:pt idx="33">
                    <c:v>2025-03-12</c:v>
                  </c:pt>
                  <c:pt idx="34">
                    <c:v>2025-03-14</c:v>
                  </c:pt>
                  <c:pt idx="35">
                    <c:v>2025-03-15</c:v>
                  </c:pt>
                  <c:pt idx="36">
                    <c:v>2025-03-20</c:v>
                  </c:pt>
                  <c:pt idx="37">
                    <c:v>2025-03-24</c:v>
                  </c:pt>
                  <c:pt idx="38">
                    <c:v>2025-03-25</c:v>
                  </c:pt>
                  <c:pt idx="39">
                    <c:v>2025-03-29</c:v>
                  </c:pt>
                  <c:pt idx="40">
                    <c:v>2025-04-01</c:v>
                  </c:pt>
                  <c:pt idx="41">
                    <c:v>2025-04-03</c:v>
                  </c:pt>
                  <c:pt idx="42">
                    <c:v>2025-04-05</c:v>
                  </c:pt>
                  <c:pt idx="43">
                    <c:v>2025-04-06</c:v>
                  </c:pt>
                  <c:pt idx="44">
                    <c:v>2025-04-09</c:v>
                  </c:pt>
                  <c:pt idx="45">
                    <c:v>2025-04-11</c:v>
                  </c:pt>
                  <c:pt idx="46">
                    <c:v>2025-04-12</c:v>
                  </c:pt>
                  <c:pt idx="47">
                    <c:v>2025-04-13</c:v>
                  </c:pt>
                  <c:pt idx="48">
                    <c:v>2025-04-15</c:v>
                  </c:pt>
                  <c:pt idx="49">
                    <c:v>2025-04-16</c:v>
                  </c:pt>
                  <c:pt idx="50">
                    <c:v>2025-04-17</c:v>
                  </c:pt>
                  <c:pt idx="51">
                    <c:v>2025-04-18</c:v>
                  </c:pt>
                  <c:pt idx="52">
                    <c:v>2025-04-20</c:v>
                  </c:pt>
                  <c:pt idx="53">
                    <c:v>2025-04-22</c:v>
                  </c:pt>
                  <c:pt idx="54">
                    <c:v>2025-04-23</c:v>
                  </c:pt>
                  <c:pt idx="55">
                    <c:v>2025-04-28</c:v>
                  </c:pt>
                  <c:pt idx="56">
                    <c:v>2025-04-29</c:v>
                  </c:pt>
                  <c:pt idx="57">
                    <c:v>2025-04-30</c:v>
                  </c:pt>
                  <c:pt idx="58">
                    <c:v>2025-05-01</c:v>
                  </c:pt>
                  <c:pt idx="59">
                    <c:v>2025-05-02</c:v>
                  </c:pt>
                  <c:pt idx="60">
                    <c:v>2025-05-03</c:v>
                  </c:pt>
                  <c:pt idx="61">
                    <c:v>2025-05-08</c:v>
                  </c:pt>
                  <c:pt idx="62">
                    <c:v>2025-05-10</c:v>
                  </c:pt>
                  <c:pt idx="63">
                    <c:v>2025-05-11</c:v>
                  </c:pt>
                  <c:pt idx="64">
                    <c:v>2025-05-12</c:v>
                  </c:pt>
                  <c:pt idx="65">
                    <c:v>2025-05-13</c:v>
                  </c:pt>
                  <c:pt idx="66">
                    <c:v>2025-05-14</c:v>
                  </c:pt>
                  <c:pt idx="67">
                    <c:v>2025-05-17</c:v>
                  </c:pt>
                  <c:pt idx="68">
                    <c:v>2025-05-18</c:v>
                  </c:pt>
                  <c:pt idx="69">
                    <c:v>2025-05-21</c:v>
                  </c:pt>
                  <c:pt idx="70">
                    <c:v>2025-05-27</c:v>
                  </c:pt>
                  <c:pt idx="71">
                    <c:v>2025-05-29</c:v>
                  </c:pt>
                  <c:pt idx="72">
                    <c:v>2025-05-31</c:v>
                  </c:pt>
                  <c:pt idx="73">
                    <c:v>2025-06-01</c:v>
                  </c:pt>
                  <c:pt idx="74">
                    <c:v>2025-06-03</c:v>
                  </c:pt>
                  <c:pt idx="75">
                    <c:v>2025-06-04</c:v>
                  </c:pt>
                  <c:pt idx="76">
                    <c:v>2025-06-07</c:v>
                  </c:pt>
                  <c:pt idx="77">
                    <c:v>2025-06-11</c:v>
                  </c:pt>
                  <c:pt idx="78">
                    <c:v>2025-06-14</c:v>
                  </c:pt>
                  <c:pt idx="79">
                    <c:v>2025-06-15</c:v>
                  </c:pt>
                  <c:pt idx="80">
                    <c:v>2025-06-16</c:v>
                  </c:pt>
                  <c:pt idx="81">
                    <c:v>2025-06-18</c:v>
                  </c:pt>
                  <c:pt idx="82">
                    <c:v>2025-07-01</c:v>
                  </c:pt>
                  <c:pt idx="83">
                    <c:v>2025-07-05</c:v>
                  </c:pt>
                  <c:pt idx="84">
                    <c:v>2025-07-07</c:v>
                  </c:pt>
                  <c:pt idx="85">
                    <c:v>2025-07-08</c:v>
                  </c:pt>
                  <c:pt idx="86">
                    <c:v>2025-07-09</c:v>
                  </c:pt>
                  <c:pt idx="87">
                    <c:v>2025-07-10</c:v>
                  </c:pt>
                  <c:pt idx="88">
                    <c:v>2025-07-11</c:v>
                  </c:pt>
                  <c:pt idx="89">
                    <c:v>2025-07-13</c:v>
                  </c:pt>
                  <c:pt idx="90">
                    <c:v>2025-07-15</c:v>
                  </c:pt>
                  <c:pt idx="91">
                    <c:v>2025-07-23</c:v>
                  </c:pt>
                  <c:pt idx="92">
                    <c:v>2025-07-24</c:v>
                  </c:pt>
                  <c:pt idx="93">
                    <c:v>2025-07-26</c:v>
                  </c:pt>
                  <c:pt idx="94">
                    <c:v>2025-07-27</c:v>
                  </c:pt>
                  <c:pt idx="95">
                    <c:v>2025-07-28</c:v>
                  </c:pt>
                  <c:pt idx="96">
                    <c:v>2025-07-31</c:v>
                  </c:pt>
                  <c:pt idx="97">
                    <c:v>2025-08-01</c:v>
                  </c:pt>
                  <c:pt idx="98">
                    <c:v>2025-08-03</c:v>
                  </c:pt>
                  <c:pt idx="99">
                    <c:v>2025-08-04</c:v>
                  </c:pt>
                  <c:pt idx="100">
                    <c:v>2025-08-05</c:v>
                  </c:pt>
                  <c:pt idx="101">
                    <c:v>2025-08-06</c:v>
                  </c:pt>
                  <c:pt idx="102">
                    <c:v>2025-08-07</c:v>
                  </c:pt>
                  <c:pt idx="103">
                    <c:v>2025-08-08</c:v>
                  </c:pt>
                  <c:pt idx="104">
                    <c:v>2025-08-09</c:v>
                  </c:pt>
                  <c:pt idx="105">
                    <c:v>2025-08-11</c:v>
                  </c:pt>
                  <c:pt idx="106">
                    <c:v>2025-08-16</c:v>
                  </c:pt>
                  <c:pt idx="107">
                    <c:v>2025-08-19</c:v>
                  </c:pt>
                  <c:pt idx="108">
                    <c:v>2025-08-22</c:v>
                  </c:pt>
                  <c:pt idx="109">
                    <c:v>2025-08-23</c:v>
                  </c:pt>
                  <c:pt idx="110">
                    <c:v>2025-08-27</c:v>
                  </c:pt>
                  <c:pt idx="111">
                    <c:v>2025-09-05</c:v>
                  </c:pt>
                  <c:pt idx="112">
                    <c:v>2025-09-07</c:v>
                  </c:pt>
                  <c:pt idx="113">
                    <c:v>2025-09-10</c:v>
                  </c:pt>
                  <c:pt idx="114">
                    <c:v>2025-09-12</c:v>
                  </c:pt>
                  <c:pt idx="115">
                    <c:v>2025-09-16</c:v>
                  </c:pt>
                  <c:pt idx="116">
                    <c:v>2025-09-17</c:v>
                  </c:pt>
                  <c:pt idx="117">
                    <c:v>2025-09-19</c:v>
                  </c:pt>
                  <c:pt idx="118">
                    <c:v>2025-09-22</c:v>
                  </c:pt>
                  <c:pt idx="119">
                    <c:v>2025-09-23</c:v>
                  </c:pt>
                  <c:pt idx="120">
                    <c:v>2025-09-24</c:v>
                  </c:pt>
                  <c:pt idx="121">
                    <c:v>2025-09-27</c:v>
                  </c:pt>
                  <c:pt idx="122">
                    <c:v>2025-09-28</c:v>
                  </c:pt>
                  <c:pt idx="123">
                    <c:v>2025-09-29</c:v>
                  </c:pt>
                  <c:pt idx="124">
                    <c:v>2025-09-30</c:v>
                  </c:pt>
                  <c:pt idx="125">
                    <c:v>2025-10-02</c:v>
                  </c:pt>
                  <c:pt idx="126">
                    <c:v>2025-10-04</c:v>
                  </c:pt>
                  <c:pt idx="127">
                    <c:v>2025-10-05</c:v>
                  </c:pt>
                  <c:pt idx="128">
                    <c:v>2025-10-06</c:v>
                  </c:pt>
                  <c:pt idx="129">
                    <c:v>2025-10-09</c:v>
                  </c:pt>
                  <c:pt idx="130">
                    <c:v>2025-10-10</c:v>
                  </c:pt>
                  <c:pt idx="131">
                    <c:v>2025-10-13</c:v>
                  </c:pt>
                  <c:pt idx="132">
                    <c:v>2025-10-14</c:v>
                  </c:pt>
                  <c:pt idx="133">
                    <c:v>2025-10-17</c:v>
                  </c:pt>
                  <c:pt idx="134">
                    <c:v>2025-10-18</c:v>
                  </c:pt>
                  <c:pt idx="135">
                    <c:v>2025-10-22</c:v>
                  </c:pt>
                  <c:pt idx="136">
                    <c:v>2025-10-23</c:v>
                  </c:pt>
                  <c:pt idx="137">
                    <c:v>2025-10-25</c:v>
                  </c:pt>
                  <c:pt idx="138">
                    <c:v>2025-10-26</c:v>
                  </c:pt>
                  <c:pt idx="139">
                    <c:v>2025-10-27</c:v>
                  </c:pt>
                  <c:pt idx="140">
                    <c:v>2025-10-28</c:v>
                  </c:pt>
                  <c:pt idx="141">
                    <c:v>2025-10-29</c:v>
                  </c:pt>
                  <c:pt idx="142">
                    <c:v>2025-10-30</c:v>
                  </c:pt>
                  <c:pt idx="143">
                    <c:v>2025-10-31</c:v>
                  </c:pt>
                  <c:pt idx="144">
                    <c:v>2025-11-01</c:v>
                  </c:pt>
                  <c:pt idx="145">
                    <c:v>2025-11-02</c:v>
                  </c:pt>
                  <c:pt idx="146">
                    <c:v>2025-11-04</c:v>
                  </c:pt>
                  <c:pt idx="147">
                    <c:v>2025-11-06</c:v>
                  </c:pt>
                  <c:pt idx="148">
                    <c:v>2025-11-07</c:v>
                  </c:pt>
                  <c:pt idx="149">
                    <c:v>2025-11-08</c:v>
                  </c:pt>
                  <c:pt idx="150">
                    <c:v>2025-11-09</c:v>
                  </c:pt>
                  <c:pt idx="151">
                    <c:v>2025-11-10</c:v>
                  </c:pt>
                  <c:pt idx="152">
                    <c:v>2025-11-11</c:v>
                  </c:pt>
                  <c:pt idx="153">
                    <c:v>2025-11-18</c:v>
                  </c:pt>
                  <c:pt idx="154">
                    <c:v>2025-11-19</c:v>
                  </c:pt>
                  <c:pt idx="155">
                    <c:v>2025-11-21</c:v>
                  </c:pt>
                  <c:pt idx="156">
                    <c:v>2025-11-23</c:v>
                  </c:pt>
                  <c:pt idx="157">
                    <c:v>2025-11-26</c:v>
                  </c:pt>
                  <c:pt idx="158">
                    <c:v>2025-11-28</c:v>
                  </c:pt>
                  <c:pt idx="159">
                    <c:v>2025-11-29</c:v>
                  </c:pt>
                  <c:pt idx="160">
                    <c:v>2025-12-02</c:v>
                  </c:pt>
                  <c:pt idx="161">
                    <c:v>2025-12-04</c:v>
                  </c:pt>
                  <c:pt idx="162">
                    <c:v>2025-12-08</c:v>
                  </c:pt>
                  <c:pt idx="163">
                    <c:v>2025-12-11</c:v>
                  </c:pt>
                  <c:pt idx="164">
                    <c:v>2025-12-12</c:v>
                  </c:pt>
                  <c:pt idx="165">
                    <c:v>2025-12-13</c:v>
                  </c:pt>
                  <c:pt idx="166">
                    <c:v>2025-12-15</c:v>
                  </c:pt>
                  <c:pt idx="167">
                    <c:v>2025-12-18</c:v>
                  </c:pt>
                  <c:pt idx="168">
                    <c:v>2025-12-19</c:v>
                  </c:pt>
                  <c:pt idx="169">
                    <c:v>2025-12-23</c:v>
                  </c:pt>
                  <c:pt idx="170">
                    <c:v>2025-12-25</c:v>
                  </c:pt>
                  <c:pt idx="171">
                    <c:v>2025-12-28</c:v>
                  </c:pt>
                  <c:pt idx="172">
                    <c:v>2025-12-29</c:v>
                  </c:pt>
                  <c:pt idx="173">
                    <c:v>2025-12-30</c:v>
                  </c:pt>
                </c:lvl>
                <c:lvl>
                  <c:pt idx="0">
                    <c:v>Group1</c:v>
                  </c:pt>
                </c:lvl>
              </c:multiLvlStrCache>
            </c:multiLvlStrRef>
          </c:cat>
          <c:val>
            <c:numRef>
              <c:f>Sheet4!$B$4:$B$179</c:f>
              <c:numCache>
                <c:formatCode>General</c:formatCode>
                <c:ptCount val="174"/>
                <c:pt idx="0">
                  <c:v>2550</c:v>
                </c:pt>
                <c:pt idx="1">
                  <c:v>8075</c:v>
                </c:pt>
                <c:pt idx="2">
                  <c:v>32860</c:v>
                </c:pt>
                <c:pt idx="3">
                  <c:v>35100</c:v>
                </c:pt>
                <c:pt idx="4">
                  <c:v>85425</c:v>
                </c:pt>
                <c:pt idx="5">
                  <c:v>31675</c:v>
                </c:pt>
                <c:pt idx="6">
                  <c:v>2850</c:v>
                </c:pt>
                <c:pt idx="7">
                  <c:v>1870</c:v>
                </c:pt>
                <c:pt idx="8">
                  <c:v>109630</c:v>
                </c:pt>
                <c:pt idx="9">
                  <c:v>8550</c:v>
                </c:pt>
                <c:pt idx="10">
                  <c:v>51000</c:v>
                </c:pt>
                <c:pt idx="11">
                  <c:v>6562.5</c:v>
                </c:pt>
                <c:pt idx="12">
                  <c:v>32400</c:v>
                </c:pt>
                <c:pt idx="13">
                  <c:v>211880</c:v>
                </c:pt>
                <c:pt idx="14">
                  <c:v>9900</c:v>
                </c:pt>
                <c:pt idx="15">
                  <c:v>9350</c:v>
                </c:pt>
                <c:pt idx="16">
                  <c:v>3960</c:v>
                </c:pt>
                <c:pt idx="17">
                  <c:v>57000</c:v>
                </c:pt>
                <c:pt idx="18">
                  <c:v>222152.5</c:v>
                </c:pt>
                <c:pt idx="19">
                  <c:v>3960</c:v>
                </c:pt>
                <c:pt idx="20">
                  <c:v>350</c:v>
                </c:pt>
                <c:pt idx="21">
                  <c:v>2610</c:v>
                </c:pt>
                <c:pt idx="22">
                  <c:v>44000</c:v>
                </c:pt>
                <c:pt idx="23">
                  <c:v>945</c:v>
                </c:pt>
                <c:pt idx="24">
                  <c:v>233750</c:v>
                </c:pt>
                <c:pt idx="25">
                  <c:v>332.5</c:v>
                </c:pt>
                <c:pt idx="26">
                  <c:v>3060</c:v>
                </c:pt>
                <c:pt idx="27">
                  <c:v>19480</c:v>
                </c:pt>
                <c:pt idx="28">
                  <c:v>4555</c:v>
                </c:pt>
                <c:pt idx="29">
                  <c:v>2400</c:v>
                </c:pt>
                <c:pt idx="30">
                  <c:v>20400</c:v>
                </c:pt>
                <c:pt idx="31">
                  <c:v>261250</c:v>
                </c:pt>
                <c:pt idx="32">
                  <c:v>720</c:v>
                </c:pt>
                <c:pt idx="33">
                  <c:v>19200</c:v>
                </c:pt>
                <c:pt idx="34">
                  <c:v>10645</c:v>
                </c:pt>
                <c:pt idx="35">
                  <c:v>2700</c:v>
                </c:pt>
                <c:pt idx="36">
                  <c:v>58800</c:v>
                </c:pt>
                <c:pt idx="37">
                  <c:v>12350</c:v>
                </c:pt>
                <c:pt idx="38">
                  <c:v>7650</c:v>
                </c:pt>
                <c:pt idx="39">
                  <c:v>11700</c:v>
                </c:pt>
                <c:pt idx="40">
                  <c:v>54000</c:v>
                </c:pt>
                <c:pt idx="41">
                  <c:v>1870</c:v>
                </c:pt>
                <c:pt idx="42">
                  <c:v>11350</c:v>
                </c:pt>
                <c:pt idx="43">
                  <c:v>24225</c:v>
                </c:pt>
                <c:pt idx="44">
                  <c:v>177150</c:v>
                </c:pt>
                <c:pt idx="45">
                  <c:v>22950</c:v>
                </c:pt>
                <c:pt idx="46">
                  <c:v>55000</c:v>
                </c:pt>
                <c:pt idx="47">
                  <c:v>24997.5</c:v>
                </c:pt>
                <c:pt idx="48">
                  <c:v>6750</c:v>
                </c:pt>
                <c:pt idx="49">
                  <c:v>6480</c:v>
                </c:pt>
                <c:pt idx="50">
                  <c:v>1350</c:v>
                </c:pt>
                <c:pt idx="51">
                  <c:v>3240</c:v>
                </c:pt>
                <c:pt idx="52">
                  <c:v>2227.5</c:v>
                </c:pt>
                <c:pt idx="53">
                  <c:v>29600</c:v>
                </c:pt>
                <c:pt idx="54">
                  <c:v>3520</c:v>
                </c:pt>
                <c:pt idx="55">
                  <c:v>3960</c:v>
                </c:pt>
                <c:pt idx="56">
                  <c:v>7305</c:v>
                </c:pt>
                <c:pt idx="57">
                  <c:v>4050</c:v>
                </c:pt>
                <c:pt idx="58">
                  <c:v>30430</c:v>
                </c:pt>
                <c:pt idx="59">
                  <c:v>5450</c:v>
                </c:pt>
                <c:pt idx="60">
                  <c:v>3240</c:v>
                </c:pt>
                <c:pt idx="61">
                  <c:v>2160</c:v>
                </c:pt>
                <c:pt idx="62">
                  <c:v>61590</c:v>
                </c:pt>
                <c:pt idx="63">
                  <c:v>1662.5</c:v>
                </c:pt>
                <c:pt idx="64">
                  <c:v>28120</c:v>
                </c:pt>
                <c:pt idx="65">
                  <c:v>281270</c:v>
                </c:pt>
                <c:pt idx="66">
                  <c:v>3600</c:v>
                </c:pt>
                <c:pt idx="67">
                  <c:v>239150</c:v>
                </c:pt>
                <c:pt idx="68">
                  <c:v>295775</c:v>
                </c:pt>
                <c:pt idx="69">
                  <c:v>9900</c:v>
                </c:pt>
                <c:pt idx="70">
                  <c:v>4662.5</c:v>
                </c:pt>
                <c:pt idx="71">
                  <c:v>2775</c:v>
                </c:pt>
                <c:pt idx="72">
                  <c:v>1330</c:v>
                </c:pt>
                <c:pt idx="73">
                  <c:v>1400</c:v>
                </c:pt>
                <c:pt idx="74">
                  <c:v>22100</c:v>
                </c:pt>
                <c:pt idx="75">
                  <c:v>176000</c:v>
                </c:pt>
                <c:pt idx="76">
                  <c:v>427.5</c:v>
                </c:pt>
                <c:pt idx="77">
                  <c:v>38400</c:v>
                </c:pt>
                <c:pt idx="78">
                  <c:v>4027.5</c:v>
                </c:pt>
                <c:pt idx="79">
                  <c:v>10500</c:v>
                </c:pt>
                <c:pt idx="80">
                  <c:v>29250</c:v>
                </c:pt>
                <c:pt idx="81">
                  <c:v>38250</c:v>
                </c:pt>
                <c:pt idx="82">
                  <c:v>6210</c:v>
                </c:pt>
                <c:pt idx="83">
                  <c:v>8500</c:v>
                </c:pt>
                <c:pt idx="84">
                  <c:v>5760</c:v>
                </c:pt>
                <c:pt idx="85">
                  <c:v>247500</c:v>
                </c:pt>
                <c:pt idx="86">
                  <c:v>7500</c:v>
                </c:pt>
                <c:pt idx="87">
                  <c:v>5360</c:v>
                </c:pt>
                <c:pt idx="88">
                  <c:v>45000</c:v>
                </c:pt>
                <c:pt idx="89">
                  <c:v>5510</c:v>
                </c:pt>
                <c:pt idx="90">
                  <c:v>12350</c:v>
                </c:pt>
                <c:pt idx="91">
                  <c:v>1440</c:v>
                </c:pt>
                <c:pt idx="92">
                  <c:v>3740</c:v>
                </c:pt>
                <c:pt idx="93">
                  <c:v>7125</c:v>
                </c:pt>
                <c:pt idx="94">
                  <c:v>855</c:v>
                </c:pt>
                <c:pt idx="95">
                  <c:v>24000</c:v>
                </c:pt>
                <c:pt idx="96">
                  <c:v>20400</c:v>
                </c:pt>
                <c:pt idx="97">
                  <c:v>9360</c:v>
                </c:pt>
                <c:pt idx="98">
                  <c:v>36125</c:v>
                </c:pt>
                <c:pt idx="99">
                  <c:v>22100</c:v>
                </c:pt>
                <c:pt idx="100">
                  <c:v>17550</c:v>
                </c:pt>
                <c:pt idx="101">
                  <c:v>5525</c:v>
                </c:pt>
                <c:pt idx="102">
                  <c:v>1620</c:v>
                </c:pt>
                <c:pt idx="103">
                  <c:v>32500</c:v>
                </c:pt>
                <c:pt idx="104">
                  <c:v>855</c:v>
                </c:pt>
                <c:pt idx="105">
                  <c:v>6840</c:v>
                </c:pt>
                <c:pt idx="106">
                  <c:v>15300</c:v>
                </c:pt>
                <c:pt idx="107">
                  <c:v>1050</c:v>
                </c:pt>
                <c:pt idx="108">
                  <c:v>2760</c:v>
                </c:pt>
                <c:pt idx="109">
                  <c:v>27625</c:v>
                </c:pt>
                <c:pt idx="110">
                  <c:v>21675</c:v>
                </c:pt>
                <c:pt idx="111">
                  <c:v>35500</c:v>
                </c:pt>
                <c:pt idx="112">
                  <c:v>30600</c:v>
                </c:pt>
                <c:pt idx="113">
                  <c:v>20800</c:v>
                </c:pt>
                <c:pt idx="114">
                  <c:v>5760</c:v>
                </c:pt>
                <c:pt idx="115">
                  <c:v>10700</c:v>
                </c:pt>
                <c:pt idx="116">
                  <c:v>31200</c:v>
                </c:pt>
                <c:pt idx="117">
                  <c:v>8360</c:v>
                </c:pt>
                <c:pt idx="118">
                  <c:v>5027.5</c:v>
                </c:pt>
                <c:pt idx="119">
                  <c:v>1487.5</c:v>
                </c:pt>
                <c:pt idx="120">
                  <c:v>1400</c:v>
                </c:pt>
                <c:pt idx="121">
                  <c:v>19700</c:v>
                </c:pt>
                <c:pt idx="122">
                  <c:v>3015</c:v>
                </c:pt>
                <c:pt idx="123">
                  <c:v>19200</c:v>
                </c:pt>
                <c:pt idx="124">
                  <c:v>1282.5</c:v>
                </c:pt>
                <c:pt idx="125">
                  <c:v>192750</c:v>
                </c:pt>
                <c:pt idx="126">
                  <c:v>11610</c:v>
                </c:pt>
                <c:pt idx="127">
                  <c:v>34000</c:v>
                </c:pt>
                <c:pt idx="128">
                  <c:v>13600</c:v>
                </c:pt>
                <c:pt idx="129">
                  <c:v>765</c:v>
                </c:pt>
                <c:pt idx="130">
                  <c:v>42395</c:v>
                </c:pt>
                <c:pt idx="131">
                  <c:v>11400</c:v>
                </c:pt>
                <c:pt idx="132">
                  <c:v>24440</c:v>
                </c:pt>
                <c:pt idx="133">
                  <c:v>117920</c:v>
                </c:pt>
                <c:pt idx="134">
                  <c:v>7200</c:v>
                </c:pt>
                <c:pt idx="135">
                  <c:v>13140</c:v>
                </c:pt>
                <c:pt idx="136">
                  <c:v>20400</c:v>
                </c:pt>
                <c:pt idx="137">
                  <c:v>1912.5</c:v>
                </c:pt>
                <c:pt idx="138">
                  <c:v>787.5</c:v>
                </c:pt>
                <c:pt idx="139">
                  <c:v>42500</c:v>
                </c:pt>
                <c:pt idx="140">
                  <c:v>36125</c:v>
                </c:pt>
                <c:pt idx="141">
                  <c:v>1440</c:v>
                </c:pt>
                <c:pt idx="142">
                  <c:v>13000</c:v>
                </c:pt>
                <c:pt idx="143">
                  <c:v>3825</c:v>
                </c:pt>
                <c:pt idx="144">
                  <c:v>3740</c:v>
                </c:pt>
                <c:pt idx="145">
                  <c:v>700</c:v>
                </c:pt>
                <c:pt idx="146">
                  <c:v>3420</c:v>
                </c:pt>
                <c:pt idx="147">
                  <c:v>1147.5</c:v>
                </c:pt>
                <c:pt idx="148">
                  <c:v>280</c:v>
                </c:pt>
                <c:pt idx="149">
                  <c:v>3240</c:v>
                </c:pt>
                <c:pt idx="150">
                  <c:v>360</c:v>
                </c:pt>
                <c:pt idx="151">
                  <c:v>1620</c:v>
                </c:pt>
                <c:pt idx="152">
                  <c:v>22660</c:v>
                </c:pt>
                <c:pt idx="153">
                  <c:v>1080</c:v>
                </c:pt>
                <c:pt idx="154">
                  <c:v>94987.5</c:v>
                </c:pt>
                <c:pt idx="155">
                  <c:v>17220</c:v>
                </c:pt>
                <c:pt idx="156">
                  <c:v>132000</c:v>
                </c:pt>
                <c:pt idx="157">
                  <c:v>1760</c:v>
                </c:pt>
                <c:pt idx="158">
                  <c:v>560</c:v>
                </c:pt>
                <c:pt idx="159">
                  <c:v>9900</c:v>
                </c:pt>
                <c:pt idx="160">
                  <c:v>247500</c:v>
                </c:pt>
                <c:pt idx="161">
                  <c:v>28800</c:v>
                </c:pt>
                <c:pt idx="162">
                  <c:v>29250</c:v>
                </c:pt>
                <c:pt idx="163">
                  <c:v>17550</c:v>
                </c:pt>
                <c:pt idx="164">
                  <c:v>3240</c:v>
                </c:pt>
                <c:pt idx="165">
                  <c:v>33000</c:v>
                </c:pt>
                <c:pt idx="166">
                  <c:v>1400</c:v>
                </c:pt>
                <c:pt idx="167">
                  <c:v>46750</c:v>
                </c:pt>
                <c:pt idx="168">
                  <c:v>9330</c:v>
                </c:pt>
                <c:pt idx="169">
                  <c:v>5525</c:v>
                </c:pt>
                <c:pt idx="170">
                  <c:v>11050</c:v>
                </c:pt>
                <c:pt idx="171">
                  <c:v>2200</c:v>
                </c:pt>
                <c:pt idx="172">
                  <c:v>44010</c:v>
                </c:pt>
                <c:pt idx="173">
                  <c:v>27200</c:v>
                </c:pt>
              </c:numCache>
            </c:numRef>
          </c:val>
          <c:smooth val="0"/>
          <c:extLst>
            <c:ext xmlns:c16="http://schemas.microsoft.com/office/drawing/2014/chart" uri="{C3380CC4-5D6E-409C-BE32-E72D297353CC}">
              <c16:uniqueId val="{00000000-40DB-4154-8F9A-20DC67D23F0C}"/>
            </c:ext>
          </c:extLst>
        </c:ser>
        <c:dLbls>
          <c:showLegendKey val="0"/>
          <c:showVal val="0"/>
          <c:showCatName val="0"/>
          <c:showSerName val="0"/>
          <c:showPercent val="0"/>
          <c:showBubbleSize val="0"/>
        </c:dLbls>
        <c:axId val="2048608223"/>
        <c:axId val="2048615423"/>
        <c:axId val="451607184"/>
      </c:line3DChart>
      <c:catAx>
        <c:axId val="204860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8615423"/>
        <c:crosses val="autoZero"/>
        <c:auto val="1"/>
        <c:lblAlgn val="ctr"/>
        <c:lblOffset val="100"/>
        <c:noMultiLvlLbl val="0"/>
      </c:catAx>
      <c:valAx>
        <c:axId val="20486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8608223"/>
        <c:crosses val="autoZero"/>
        <c:crossBetween val="between"/>
      </c:valAx>
      <c:serAx>
        <c:axId val="4516071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8615423"/>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Profit By Category</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11267621890272"/>
          <c:y val="0.30673963084711497"/>
          <c:w val="0.70778121732144961"/>
          <c:h val="0.40219869360990068"/>
        </c:manualLayout>
      </c:layout>
      <c:bar3DChart>
        <c:barDir val="col"/>
        <c:grouping val="standard"/>
        <c:varyColors val="0"/>
        <c:ser>
          <c:idx val="0"/>
          <c:order val="0"/>
          <c:tx>
            <c:strRef>
              <c:f>Sheet5!$B$3</c:f>
              <c:strCache>
                <c:ptCount val="1"/>
                <c:pt idx="0">
                  <c:v>Total</c:v>
                </c:pt>
              </c:strCache>
            </c:strRef>
          </c:tx>
          <c:spPr>
            <a:solidFill>
              <a:schemeClr val="accent1"/>
            </a:solidFill>
            <a:ln>
              <a:noFill/>
            </a:ln>
            <a:effectLst/>
            <a:sp3d/>
          </c:spPr>
          <c:invertIfNegative val="0"/>
          <c:cat>
            <c:strRef>
              <c:f>Sheet5!$A$4:$A$9</c:f>
              <c:strCache>
                <c:ptCount val="5"/>
                <c:pt idx="0">
                  <c:v>Bags</c:v>
                </c:pt>
                <c:pt idx="1">
                  <c:v>Electronics</c:v>
                </c:pt>
                <c:pt idx="2">
                  <c:v>Furniture</c:v>
                </c:pt>
                <c:pt idx="3">
                  <c:v>Home</c:v>
                </c:pt>
                <c:pt idx="4">
                  <c:v>Office Supplies</c:v>
                </c:pt>
              </c:strCache>
            </c:strRef>
          </c:cat>
          <c:val>
            <c:numRef>
              <c:f>Sheet5!$B$4:$B$9</c:f>
              <c:numCache>
                <c:formatCode>General</c:formatCode>
                <c:ptCount val="5"/>
                <c:pt idx="0">
                  <c:v>15392.200000000003</c:v>
                </c:pt>
                <c:pt idx="1">
                  <c:v>650767.20000000007</c:v>
                </c:pt>
                <c:pt idx="2">
                  <c:v>163769.93</c:v>
                </c:pt>
                <c:pt idx="3">
                  <c:v>4564.58</c:v>
                </c:pt>
                <c:pt idx="4">
                  <c:v>3918.65</c:v>
                </c:pt>
              </c:numCache>
            </c:numRef>
          </c:val>
          <c:extLst>
            <c:ext xmlns:c16="http://schemas.microsoft.com/office/drawing/2014/chart" uri="{C3380CC4-5D6E-409C-BE32-E72D297353CC}">
              <c16:uniqueId val="{00000000-E78A-4FE5-9AD0-5AC24A645D40}"/>
            </c:ext>
          </c:extLst>
        </c:ser>
        <c:dLbls>
          <c:showLegendKey val="0"/>
          <c:showVal val="0"/>
          <c:showCatName val="0"/>
          <c:showSerName val="0"/>
          <c:showPercent val="0"/>
          <c:showBubbleSize val="0"/>
        </c:dLbls>
        <c:gapWidth val="219"/>
        <c:shape val="box"/>
        <c:axId val="2056261039"/>
        <c:axId val="2056262959"/>
        <c:axId val="451605504"/>
      </c:bar3DChart>
      <c:catAx>
        <c:axId val="205626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262959"/>
        <c:crosses val="autoZero"/>
        <c:auto val="1"/>
        <c:lblAlgn val="ctr"/>
        <c:lblOffset val="100"/>
        <c:noMultiLvlLbl val="0"/>
      </c:catAx>
      <c:valAx>
        <c:axId val="205626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261039"/>
        <c:crosses val="autoZero"/>
        <c:crossBetween val="between"/>
      </c:valAx>
      <c:serAx>
        <c:axId val="45160550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262959"/>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Top 10 Products by Sales</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457726875049715"/>
          <c:y val="0.38728968738062669"/>
          <c:w val="0.27385137463877623"/>
          <c:h val="0.49879314381476964"/>
        </c:manualLayout>
      </c:layout>
      <c:bar3DChart>
        <c:barDir val="bar"/>
        <c:grouping val="percentStacked"/>
        <c:varyColors val="0"/>
        <c:ser>
          <c:idx val="0"/>
          <c:order val="0"/>
          <c:tx>
            <c:strRef>
              <c:f>Sheet6!$B$3</c:f>
              <c:strCache>
                <c:ptCount val="1"/>
                <c:pt idx="0">
                  <c:v>Total</c:v>
                </c:pt>
              </c:strCache>
            </c:strRef>
          </c:tx>
          <c:spPr>
            <a:solidFill>
              <a:schemeClr val="accent1"/>
            </a:solidFill>
            <a:ln>
              <a:noFill/>
            </a:ln>
            <a:effectLst/>
            <a:sp3d/>
          </c:spPr>
          <c:invertIfNegative val="0"/>
          <c:cat>
            <c:strRef>
              <c:f>Sheet6!$A$4:$A$14</c:f>
              <c:strCache>
                <c:ptCount val="10"/>
                <c:pt idx="0">
                  <c:v>Laptop</c:v>
                </c:pt>
                <c:pt idx="1">
                  <c:v>Study Table</c:v>
                </c:pt>
                <c:pt idx="2">
                  <c:v>Printer</c:v>
                </c:pt>
                <c:pt idx="3">
                  <c:v>Office Chair</c:v>
                </c:pt>
                <c:pt idx="4">
                  <c:v>Headphones</c:v>
                </c:pt>
                <c:pt idx="5">
                  <c:v>Backpack</c:v>
                </c:pt>
                <c:pt idx="6">
                  <c:v>Wireless Mouse</c:v>
                </c:pt>
                <c:pt idx="7">
                  <c:v>Keyboard</c:v>
                </c:pt>
                <c:pt idx="8">
                  <c:v>Water Bottle</c:v>
                </c:pt>
                <c:pt idx="9">
                  <c:v>Notebook Pack</c:v>
                </c:pt>
              </c:strCache>
            </c:strRef>
          </c:cat>
          <c:val>
            <c:numRef>
              <c:f>Sheet6!$B$4:$B$14</c:f>
              <c:numCache>
                <c:formatCode>General</c:formatCode>
                <c:ptCount val="10"/>
                <c:pt idx="0">
                  <c:v>3294500</c:v>
                </c:pt>
                <c:pt idx="1">
                  <c:v>701250</c:v>
                </c:pt>
                <c:pt idx="2">
                  <c:v>642000</c:v>
                </c:pt>
                <c:pt idx="3">
                  <c:v>436800</c:v>
                </c:pt>
                <c:pt idx="4">
                  <c:v>193710</c:v>
                </c:pt>
                <c:pt idx="5">
                  <c:v>99720</c:v>
                </c:pt>
                <c:pt idx="6">
                  <c:v>73080</c:v>
                </c:pt>
                <c:pt idx="7">
                  <c:v>65400</c:v>
                </c:pt>
                <c:pt idx="8">
                  <c:v>28957.5</c:v>
                </c:pt>
                <c:pt idx="9">
                  <c:v>26582.5</c:v>
                </c:pt>
              </c:numCache>
            </c:numRef>
          </c:val>
          <c:extLst>
            <c:ext xmlns:c16="http://schemas.microsoft.com/office/drawing/2014/chart" uri="{C3380CC4-5D6E-409C-BE32-E72D297353CC}">
              <c16:uniqueId val="{00000000-0DD0-439D-A341-0F0859F5A58A}"/>
            </c:ext>
          </c:extLst>
        </c:ser>
        <c:dLbls>
          <c:showLegendKey val="0"/>
          <c:showVal val="0"/>
          <c:showCatName val="0"/>
          <c:showSerName val="0"/>
          <c:showPercent val="0"/>
          <c:showBubbleSize val="0"/>
        </c:dLbls>
        <c:gapWidth val="182"/>
        <c:shape val="box"/>
        <c:axId val="2056220719"/>
        <c:axId val="2056212079"/>
        <c:axId val="0"/>
      </c:bar3DChart>
      <c:catAx>
        <c:axId val="205622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212079"/>
        <c:crosses val="autoZero"/>
        <c:auto val="1"/>
        <c:lblAlgn val="ctr"/>
        <c:lblOffset val="100"/>
        <c:noMultiLvlLbl val="0"/>
      </c:catAx>
      <c:valAx>
        <c:axId val="2056212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2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[Amazon_Sales_Dataset_1000_Rows.xlsx]Sheet7!PivotTable6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By Ship Mode</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8C1-4056-981C-BFA682A719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8C1-4056-981C-BFA682A719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8C1-4056-981C-BFA682A719A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8C1-4056-981C-BFA682A719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Sheet7!$A$4:$A$5</c:f>
              <c:strCache>
                <c:ptCount val="1"/>
                <c:pt idx="0">
                  <c:v>Same Day</c:v>
                </c:pt>
              </c:strCache>
            </c:strRef>
          </c:cat>
          <c:val>
            <c:numRef>
              <c:f>Sheet7!$B$4:$B$5</c:f>
              <c:numCache>
                <c:formatCode>General</c:formatCode>
                <c:ptCount val="1"/>
                <c:pt idx="0">
                  <c:v>906135</c:v>
                </c:pt>
              </c:numCache>
            </c:numRef>
          </c:val>
          <c:extLst>
            <c:ext xmlns:c16="http://schemas.microsoft.com/office/drawing/2014/chart" uri="{C3380CC4-5D6E-409C-BE32-E72D297353CC}">
              <c16:uniqueId val="{00000008-F8C1-4056-981C-BFA682A719AA}"/>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670560</xdr:colOff>
      <xdr:row>6</xdr:row>
      <xdr:rowOff>9525</xdr:rowOff>
    </xdr:from>
    <xdr:to>
      <xdr:col>5</xdr:col>
      <xdr:colOff>1219200</xdr:colOff>
      <xdr:row>14</xdr:row>
      <xdr:rowOff>257175</xdr:rowOff>
    </xdr:to>
    <xdr:graphicFrame macro="">
      <xdr:nvGraphicFramePr>
        <xdr:cNvPr id="2" name="Chart 1">
          <a:extLst>
            <a:ext uri="{FF2B5EF4-FFF2-40B4-BE49-F238E27FC236}">
              <a16:creationId xmlns:a16="http://schemas.microsoft.com/office/drawing/2014/main" id="{973FBB80-F47C-4486-B624-0FA8E61AE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361949</xdr:colOff>
      <xdr:row>6</xdr:row>
      <xdr:rowOff>45719</xdr:rowOff>
    </xdr:from>
    <xdr:to>
      <xdr:col>11</xdr:col>
      <xdr:colOff>504825</xdr:colOff>
      <xdr:row>14</xdr:row>
      <xdr:rowOff>200024</xdr:rowOff>
    </xdr:to>
    <xdr:graphicFrame macro="">
      <xdr:nvGraphicFramePr>
        <xdr:cNvPr id="3" name="Chart 2">
          <a:extLst>
            <a:ext uri="{FF2B5EF4-FFF2-40B4-BE49-F238E27FC236}">
              <a16:creationId xmlns:a16="http://schemas.microsoft.com/office/drawing/2014/main" id="{D08FC3C2-BDAF-4268-B587-F49970523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555171</xdr:colOff>
      <xdr:row>6</xdr:row>
      <xdr:rowOff>41909</xdr:rowOff>
    </xdr:from>
    <xdr:to>
      <xdr:col>17</xdr:col>
      <xdr:colOff>603886</xdr:colOff>
      <xdr:row>15</xdr:row>
      <xdr:rowOff>87086</xdr:rowOff>
    </xdr:to>
    <xdr:graphicFrame macro="">
      <xdr:nvGraphicFramePr>
        <xdr:cNvPr id="4" name="Chart 3">
          <a:extLst>
            <a:ext uri="{FF2B5EF4-FFF2-40B4-BE49-F238E27FC236}">
              <a16:creationId xmlns:a16="http://schemas.microsoft.com/office/drawing/2014/main" id="{58B660C1-DF60-4D8C-A6FA-B7834741E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283844</xdr:rowOff>
    </xdr:from>
    <xdr:to>
      <xdr:col>5</xdr:col>
      <xdr:colOff>1247775</xdr:colOff>
      <xdr:row>24</xdr:row>
      <xdr:rowOff>85724</xdr:rowOff>
    </xdr:to>
    <xdr:graphicFrame macro="">
      <xdr:nvGraphicFramePr>
        <xdr:cNvPr id="5" name="Chart 4">
          <a:extLst>
            <a:ext uri="{FF2B5EF4-FFF2-40B4-BE49-F238E27FC236}">
              <a16:creationId xmlns:a16="http://schemas.microsoft.com/office/drawing/2014/main" id="{BB628F36-DD2C-4C5E-80F1-17D37F575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381000</xdr:colOff>
      <xdr:row>16</xdr:row>
      <xdr:rowOff>9525</xdr:rowOff>
    </xdr:from>
    <xdr:to>
      <xdr:col>11</xdr:col>
      <xdr:colOff>445770</xdr:colOff>
      <xdr:row>24</xdr:row>
      <xdr:rowOff>80010</xdr:rowOff>
    </xdr:to>
    <xdr:graphicFrame macro="">
      <xdr:nvGraphicFramePr>
        <xdr:cNvPr id="6" name="Chart 5">
          <a:extLst>
            <a:ext uri="{FF2B5EF4-FFF2-40B4-BE49-F238E27FC236}">
              <a16:creationId xmlns:a16="http://schemas.microsoft.com/office/drawing/2014/main" id="{C877A73F-26BA-4CB2-B1B9-7C60A320E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xdr:colOff>
      <xdr:row>16</xdr:row>
      <xdr:rowOff>0</xdr:rowOff>
    </xdr:from>
    <xdr:to>
      <xdr:col>18</xdr:col>
      <xdr:colOff>9525</xdr:colOff>
      <xdr:row>24</xdr:row>
      <xdr:rowOff>66675</xdr:rowOff>
    </xdr:to>
    <xdr:graphicFrame macro="">
      <xdr:nvGraphicFramePr>
        <xdr:cNvPr id="7" name="Chart 6">
          <a:extLst>
            <a:ext uri="{FF2B5EF4-FFF2-40B4-BE49-F238E27FC236}">
              <a16:creationId xmlns:a16="http://schemas.microsoft.com/office/drawing/2014/main" id="{45242320-EC45-42C7-8DD6-332244EA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476250</xdr:colOff>
      <xdr:row>10</xdr:row>
      <xdr:rowOff>47626</xdr:rowOff>
    </xdr:from>
    <xdr:to>
      <xdr:col>21</xdr:col>
      <xdr:colOff>247650</xdr:colOff>
      <xdr:row>17</xdr:row>
      <xdr:rowOff>171451</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86EF7237-5476-43D2-B218-83EF291D36F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465879" y="2997655"/>
              <a:ext cx="160020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2</xdr:row>
      <xdr:rowOff>76201</xdr:rowOff>
    </xdr:from>
    <xdr:to>
      <xdr:col>21</xdr:col>
      <xdr:colOff>238125</xdr:colOff>
      <xdr:row>9</xdr:row>
      <xdr:rowOff>133351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451967F-08A0-45CA-A82D-C9FF4BD241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84929" y="740230"/>
              <a:ext cx="1571625" cy="204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542924</xdr:colOff>
      <xdr:row>18</xdr:row>
      <xdr:rowOff>95251</xdr:rowOff>
    </xdr:from>
    <xdr:to>
      <xdr:col>21</xdr:col>
      <xdr:colOff>380999</xdr:colOff>
      <xdr:row>25</xdr:row>
      <xdr:rowOff>219076</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9CEDF9C9-4FF5-48AD-82C5-87B47A6A8D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32553" y="5396594"/>
              <a:ext cx="1666875"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Chaudhari" refreshedDate="46210.858319791667" createdVersion="8" refreshedVersion="8" minRefreshableVersion="3" recordCount="1000" xr:uid="{874A7E18-4B53-4290-BE30-8241C68E9716}">
  <cacheSource type="worksheet">
    <worksheetSource name="AmazonSales"/>
  </cacheSource>
  <cacheFields count="16">
    <cacheField name="Order ID" numFmtId="0">
      <sharedItems/>
    </cacheField>
    <cacheField name="Order Date" numFmtId="0">
      <sharedItems count="337">
        <s v="2025-11-04"/>
        <s v="2025-04-30"/>
        <s v="2025-02-03"/>
        <s v="2025-04-02"/>
        <s v="2025-09-10"/>
        <s v="2025-12-13"/>
        <s v="2025-10-23"/>
        <s v="2025-08-19"/>
        <s v="2025-10-31"/>
        <s v="2025-06-17"/>
        <s v="2025-09-28"/>
        <s v="2025-01-13"/>
        <s v="2025-12-08"/>
        <s v="2025-09-09"/>
        <s v="2025-12-19"/>
        <s v="2025-06-08"/>
        <s v="2025-05-07"/>
        <s v="2025-02-22"/>
        <s v="2025-03-13"/>
        <s v="2025-03-22"/>
        <s v="2025-09-01"/>
        <s v="2025-04-06"/>
        <s v="2025-06-01"/>
        <s v="2025-08-08"/>
        <s v="2025-01-11"/>
        <s v="2025-08-24"/>
        <s v="2025-07-12"/>
        <s v="2025-07-07"/>
        <s v="2025-01-27"/>
        <s v="2025-05-19"/>
        <s v="2025-07-05"/>
        <s v="2025-04-21"/>
        <s v="2025-02-15"/>
        <s v="2025-11-28"/>
        <s v="2025-10-05"/>
        <s v="2025-11-05"/>
        <s v="2025-09-22"/>
        <s v="2025-08-16"/>
        <s v="2025-05-23"/>
        <s v="2025-10-19"/>
        <s v="2025-05-17"/>
        <s v="2025-11-26"/>
        <s v="2025-04-22"/>
        <s v="2025-04-18"/>
        <s v="2025-07-13"/>
        <s v="2025-04-13"/>
        <s v="2025-02-27"/>
        <s v="2025-07-11"/>
        <s v="2025-11-10"/>
        <s v="2025-02-16"/>
        <s v="2025-01-03"/>
        <s v="2025-06-07"/>
        <s v="2025-02-06"/>
        <s v="2025-10-06"/>
        <s v="2025-10-17"/>
        <s v="2025-05-25"/>
        <s v="2025-02-04"/>
        <s v="2025-04-23"/>
        <s v="2025-12-23"/>
        <s v="2025-03-26"/>
        <s v="2025-06-11"/>
        <s v="2025-10-13"/>
        <s v="2025-03-29"/>
        <s v="2025-02-24"/>
        <s v="2025-08-13"/>
        <s v="2025-11-21"/>
        <s v="2025-03-09"/>
        <s v="2025-04-03"/>
        <s v="2025-03-23"/>
        <s v="2025-10-07"/>
        <s v="2025-06-28"/>
        <s v="2025-06-10"/>
        <s v="2025-11-29"/>
        <s v="2025-11-30"/>
        <s v="2025-05-16"/>
        <s v="2025-05-02"/>
        <s v="2025-11-06"/>
        <s v="2025-10-26"/>
        <s v="2025-09-08"/>
        <s v="2025-07-26"/>
        <s v="2025-01-08"/>
        <s v="2025-09-05"/>
        <s v="2025-07-08"/>
        <s v="2025-10-24"/>
        <s v="2025-10-10"/>
        <s v="2025-11-08"/>
        <s v="2025-10-12"/>
        <s v="2025-01-25"/>
        <s v="2025-09-04"/>
        <s v="2025-08-20"/>
        <s v="2025-01-23"/>
        <s v="2025-02-10"/>
        <s v="2025-04-29"/>
        <s v="2025-03-01"/>
        <s v="2025-03-12"/>
        <s v="2025-11-11"/>
        <s v="2025-08-25"/>
        <s v="2025-08-18"/>
        <s v="2025-02-09"/>
        <s v="2025-12-26"/>
        <s v="2025-12-02"/>
        <s v="2025-10-22"/>
        <s v="2025-04-14"/>
        <s v="2025-05-30"/>
        <s v="2025-01-31"/>
        <s v="2025-12-29"/>
        <s v="2025-10-21"/>
        <s v="2025-11-19"/>
        <s v="2025-12-15"/>
        <s v="2025-01-30"/>
        <s v="2025-01-29"/>
        <s v="2025-04-17"/>
        <s v="2025-01-04"/>
        <s v="2025-08-07"/>
        <s v="2025-02-23"/>
        <s v="2025-06-06"/>
        <s v="2025-09-14"/>
        <s v="2025-04-15"/>
        <s v="2025-12-28"/>
        <s v="2025-09-27"/>
        <s v="2025-03-24"/>
        <s v="2025-07-15"/>
        <s v="2025-12-01"/>
        <s v="2025-11-17"/>
        <s v="2025-11-09"/>
        <s v="2025-11-22"/>
        <s v="2025-09-17"/>
        <s v="2025-09-16"/>
        <s v="2025-10-09"/>
        <s v="2025-08-03"/>
        <s v="2025-01-09"/>
        <s v="2025-03-20"/>
        <s v="2025-04-09"/>
        <s v="2025-08-29"/>
        <s v="2025-01-24"/>
        <s v="2025-08-22"/>
        <s v="2025-04-27"/>
        <s v="2025-06-21"/>
        <s v="2025-02-14"/>
        <s v="2025-07-30"/>
        <s v="2025-12-10"/>
        <s v="2025-08-02"/>
        <s v="2025-06-27"/>
        <s v="2025-12-25"/>
        <s v="2025-03-15"/>
        <s v="2025-08-10"/>
        <s v="2025-10-25"/>
        <s v="2025-11-27"/>
        <s v="2025-06-14"/>
        <s v="2025-08-09"/>
        <s v="2025-11-23"/>
        <s v="2025-05-24"/>
        <s v="2025-09-24"/>
        <s v="2025-08-11"/>
        <s v="2025-01-18"/>
        <s v="2025-07-01"/>
        <s v="2025-01-02"/>
        <s v="2025-12-21"/>
        <s v="2025-08-15"/>
        <s v="2025-07-24"/>
        <s v="2025-05-04"/>
        <s v="2025-04-11"/>
        <s v="2025-01-15"/>
        <s v="2025-05-18"/>
        <s v="2025-03-21"/>
        <s v="2025-03-25"/>
        <s v="2025-02-19"/>
        <s v="2025-07-20"/>
        <s v="2025-12-14"/>
        <s v="2025-11-20"/>
        <s v="2025-04-05"/>
        <s v="2025-12-18"/>
        <s v="2025-02-17"/>
        <s v="2025-04-28"/>
        <s v="2025-03-14"/>
        <s v="2025-07-19"/>
        <s v="2025-01-16"/>
        <s v="2025-06-13"/>
        <s v="2025-02-01"/>
        <s v="2025-03-06"/>
        <s v="2025-01-17"/>
        <s v="2025-08-23"/>
        <s v="2025-06-12"/>
        <s v="2025-04-08"/>
        <s v="2025-09-21"/>
        <s v="2025-01-06"/>
        <s v="2025-02-08"/>
        <s v="2025-08-01"/>
        <s v="2025-11-16"/>
        <s v="2025-11-18"/>
        <s v="2025-01-05"/>
        <s v="2025-12-11"/>
        <s v="2025-07-09"/>
        <s v="2025-10-16"/>
        <s v="2025-10-27"/>
        <s v="2025-03-17"/>
        <s v="2025-07-10"/>
        <s v="2025-05-22"/>
        <s v="2025-10-30"/>
        <s v="2025-02-20"/>
        <s v="2025-01-21"/>
        <s v="2025-06-29"/>
        <s v="2025-05-11"/>
        <s v="2025-01-28"/>
        <s v="2025-02-18"/>
        <s v="2025-07-28"/>
        <s v="2025-06-03"/>
        <s v="2025-05-10"/>
        <s v="2025-05-27"/>
        <s v="2025-12-16"/>
        <s v="2025-05-12"/>
        <s v="2025-08-06"/>
        <s v="2025-05-03"/>
        <s v="2025-11-13"/>
        <s v="2025-03-31"/>
        <s v="2025-01-01"/>
        <s v="2025-02-13"/>
        <s v="2025-01-07"/>
        <s v="2025-02-12"/>
        <s v="2025-02-26"/>
        <s v="2025-06-15"/>
        <s v="2025-05-21"/>
        <s v="2025-10-14"/>
        <s v="2025-09-07"/>
        <s v="2025-04-10"/>
        <s v="2025-10-18"/>
        <s v="2025-01-26"/>
        <s v="2025-10-02"/>
        <s v="2025-01-19"/>
        <s v="2025-07-29"/>
        <s v="2025-05-14"/>
        <s v="2025-12-20"/>
        <s v="2025-10-28"/>
        <s v="2025-04-26"/>
        <s v="2025-04-12"/>
        <s v="2025-05-20"/>
        <s v="2025-09-30"/>
        <s v="2025-10-08"/>
        <s v="2025-07-03"/>
        <s v="2025-05-28"/>
        <s v="2025-08-14"/>
        <s v="2025-10-11"/>
        <s v="2025-05-08"/>
        <s v="2025-07-22"/>
        <s v="2025-03-07"/>
        <s v="2025-11-07"/>
        <s v="2025-12-30"/>
        <s v="2025-06-04"/>
        <s v="2025-09-23"/>
        <s v="2025-09-12"/>
        <s v="2025-08-30"/>
        <s v="2025-03-08"/>
        <s v="2025-04-20"/>
        <s v="2025-04-19"/>
        <s v="2025-07-21"/>
        <s v="2025-07-23"/>
        <s v="2025-09-19"/>
        <s v="2025-11-25"/>
        <s v="2025-08-05"/>
        <s v="2025-04-16"/>
        <s v="2025-08-27"/>
        <s v="2025-04-01"/>
        <s v="2025-07-27"/>
        <s v="2025-07-06"/>
        <s v="2025-09-03"/>
        <s v="2025-11-14"/>
        <s v="2025-03-11"/>
        <s v="2025-03-05"/>
        <s v="2025-07-17"/>
        <s v="2025-07-31"/>
        <s v="2025-01-10"/>
        <s v="2025-06-16"/>
        <s v="2025-04-25"/>
        <s v="2025-02-07"/>
        <s v="2025-09-29"/>
        <s v="2025-10-29"/>
        <s v="2025-09-11"/>
        <s v="2025-03-03"/>
        <s v="2025-12-04"/>
        <s v="2025-02-02"/>
        <s v="2025-12-12"/>
        <s v="2025-01-20"/>
        <s v="2025-06-18"/>
        <s v="2025-03-30"/>
        <s v="2025-09-26"/>
        <s v="2025-05-15"/>
        <s v="2025-11-01"/>
        <s v="2025-12-03"/>
        <s v="2025-06-02"/>
        <s v="2025-05-01"/>
        <s v="2025-06-05"/>
        <s v="2025-06-19"/>
        <s v="2025-09-25"/>
        <s v="2025-06-25"/>
        <s v="2025-06-09"/>
        <s v="2025-05-05"/>
        <s v="2025-06-23"/>
        <s v="2025-04-04"/>
        <s v="2025-04-24"/>
        <s v="2025-09-13"/>
        <s v="2025-12-31"/>
        <s v="2025-10-03"/>
        <s v="2025-05-13"/>
        <s v="2025-10-04"/>
        <s v="2025-10-01"/>
        <s v="2025-05-29"/>
        <s v="2025-11-02"/>
        <s v="2025-01-22"/>
        <s v="2025-08-21"/>
        <s v="2025-09-18"/>
        <s v="2025-05-06"/>
        <s v="2025-11-12"/>
        <s v="2025-12-17"/>
        <s v="2025-02-11"/>
        <s v="2025-11-15"/>
        <s v="2025-06-24"/>
        <s v="2025-05-09"/>
        <s v="2025-08-28"/>
        <s v="2025-06-22"/>
        <s v="2025-12-27"/>
        <s v="2025-08-31"/>
        <s v="2025-12-09"/>
        <s v="2025-04-07"/>
        <s v="2025-03-10"/>
        <s v="2025-09-15"/>
        <s v="2025-03-28"/>
        <s v="2025-02-05"/>
        <s v="2025-02-28"/>
        <s v="2025-12-24"/>
        <s v="2025-12-06"/>
        <s v="2025-02-25"/>
        <s v="2025-05-31"/>
        <s v="2025-06-26"/>
        <s v="2025-10-20"/>
        <s v="2025-07-25"/>
        <s v="2025-08-04"/>
        <s v="2025-07-04"/>
      </sharedItems>
      <fieldGroup par="15"/>
    </cacheField>
    <cacheField name="Ship Date" numFmtId="0">
      <sharedItems/>
    </cacheField>
    <cacheField name="Customer Name" numFmtId="0">
      <sharedItems/>
    </cacheField>
    <cacheField name="Product Name" numFmtId="0">
      <sharedItems count="10">
        <s v="Laptop"/>
        <s v="Office Chair"/>
        <s v="Keyboard"/>
        <s v="Notebook Pack"/>
        <s v="Printer"/>
        <s v="Wireless Mouse"/>
        <s v="Headphones"/>
        <s v="Backpack"/>
        <s v="Study Table"/>
        <s v="Water Bottle"/>
      </sharedItems>
    </cacheField>
    <cacheField name="Category" numFmtId="0">
      <sharedItems count="5">
        <s v="Electronics"/>
        <s v="Furniture"/>
        <s v="Office Supplies"/>
        <s v="Bags"/>
        <s v="Home"/>
      </sharedItems>
    </cacheField>
    <cacheField name="Sub-Category" numFmtId="0">
      <sharedItems/>
    </cacheField>
    <cacheField name="Region" numFmtId="0">
      <sharedItems count="4">
        <s v="East"/>
        <s v="West"/>
        <s v="South"/>
        <s v="North"/>
      </sharedItems>
    </cacheField>
    <cacheField name="State" numFmtId="0">
      <sharedItems/>
    </cacheField>
    <cacheField name="City" numFmtId="0">
      <sharedItems/>
    </cacheField>
    <cacheField name="Ship Mode" numFmtId="0">
      <sharedItems count="4">
        <s v="Second Class"/>
        <s v="Same Day"/>
        <s v="Standard"/>
        <s v="First Class"/>
      </sharedItems>
    </cacheField>
    <cacheField name="Quantity" numFmtId="0">
      <sharedItems containsSemiMixedTypes="0" containsString="0" containsNumber="1" containsInteger="1" minValue="1" maxValue="5"/>
    </cacheField>
    <cacheField name="Sales" numFmtId="0">
      <sharedItems containsSemiMixedTypes="0" containsString="0" containsNumber="1" minValue="280" maxValue="275000"/>
    </cacheField>
    <cacheField name="Discount" numFmtId="0">
      <sharedItems containsSemiMixedTypes="0" containsString="0" containsNumber="1" containsInteger="1" minValue="0" maxValue="20"/>
    </cacheField>
    <cacheField name="Profit" numFmtId="0">
      <sharedItems containsSemiMixedTypes="0" containsString="0" containsNumber="1" minValue="27.88" maxValue="54640.11"/>
    </cacheField>
    <cacheField name="Order Date2" numFmtId="0" databaseField="0">
      <fieldGroup base="1">
        <discretePr count="337">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180232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MZ10002"/>
    <x v="0"/>
    <s v="2025-11-11"/>
    <s v="Mehul"/>
    <x v="0"/>
    <x v="0"/>
    <s v="Computers"/>
    <x v="0"/>
    <s v="Odisha"/>
    <s v="Bhubaneswar"/>
    <x v="0"/>
    <n v="2"/>
    <n v="110000"/>
    <n v="0"/>
    <n v="13758.99"/>
  </r>
  <r>
    <s v="AMZ10003"/>
    <x v="1"/>
    <s v="2025-05-05"/>
    <s v="Rahul"/>
    <x v="1"/>
    <x v="1"/>
    <s v="Chairs"/>
    <x v="1"/>
    <s v="Gujarat"/>
    <s v="Surat"/>
    <x v="0"/>
    <n v="3"/>
    <n v="19500"/>
    <n v="0"/>
    <n v="4209.16"/>
  </r>
  <r>
    <s v="AMZ10004"/>
    <x v="2"/>
    <s v="2025-02-04"/>
    <s v="Sneha"/>
    <x v="0"/>
    <x v="0"/>
    <s v="Computers"/>
    <x v="2"/>
    <s v="Karnataka"/>
    <s v="Bengaluru"/>
    <x v="1"/>
    <n v="5"/>
    <n v="220000"/>
    <n v="20"/>
    <n v="40318.94"/>
  </r>
  <r>
    <s v="AMZ10005"/>
    <x v="3"/>
    <s v="2025-04-05"/>
    <s v="Amit"/>
    <x v="2"/>
    <x v="0"/>
    <s v="Accessories"/>
    <x v="2"/>
    <s v="Tamil Nadu"/>
    <s v="Chennai"/>
    <x v="0"/>
    <n v="2"/>
    <n v="2700"/>
    <n v="10"/>
    <n v="533.04"/>
  </r>
  <r>
    <s v="AMZ10006"/>
    <x v="4"/>
    <s v="2025-09-12"/>
    <s v="Karan"/>
    <x v="3"/>
    <x v="2"/>
    <s v="Stationery"/>
    <x v="3"/>
    <s v="Delhi"/>
    <s v="New Delhi"/>
    <x v="2"/>
    <n v="4"/>
    <n v="1260"/>
    <n v="10"/>
    <n v="233.91"/>
  </r>
  <r>
    <s v="AMZ10007"/>
    <x v="5"/>
    <s v="2025-12-17"/>
    <s v="Amit"/>
    <x v="4"/>
    <x v="0"/>
    <s v="Printers"/>
    <x v="1"/>
    <s v="Maharashtra"/>
    <s v="Mumbai"/>
    <x v="1"/>
    <n v="2"/>
    <n v="22800"/>
    <n v="5"/>
    <n v="3034.81"/>
  </r>
  <r>
    <s v="AMZ10008"/>
    <x v="6"/>
    <s v="2025-10-27"/>
    <s v="Vikas"/>
    <x v="1"/>
    <x v="1"/>
    <s v="Chairs"/>
    <x v="3"/>
    <s v="Delhi"/>
    <s v="New Delhi"/>
    <x v="2"/>
    <n v="1"/>
    <n v="5200"/>
    <n v="20"/>
    <n v="763.35"/>
  </r>
  <r>
    <s v="AMZ10009"/>
    <x v="7"/>
    <s v="2025-08-26"/>
    <s v="Mehul"/>
    <x v="3"/>
    <x v="2"/>
    <s v="Stationery"/>
    <x v="1"/>
    <s v="Gujarat"/>
    <s v="Surat"/>
    <x v="1"/>
    <n v="3"/>
    <n v="1050"/>
    <n v="0"/>
    <n v="99.16"/>
  </r>
  <r>
    <s v="AMZ10010"/>
    <x v="8"/>
    <s v="2025-11-05"/>
    <s v="Neha"/>
    <x v="0"/>
    <x v="0"/>
    <s v="Computers"/>
    <x v="1"/>
    <s v="Gujarat"/>
    <s v="Surat"/>
    <x v="3"/>
    <n v="5"/>
    <n v="233750"/>
    <n v="15"/>
    <n v="49722.46"/>
  </r>
  <r>
    <s v="AMZ10011"/>
    <x v="9"/>
    <s v="2025-06-18"/>
    <s v="Priya"/>
    <x v="0"/>
    <x v="0"/>
    <s v="Computers"/>
    <x v="2"/>
    <s v="Karnataka"/>
    <s v="Bengaluru"/>
    <x v="3"/>
    <n v="5"/>
    <n v="247500"/>
    <n v="10"/>
    <n v="32054.5"/>
  </r>
  <r>
    <s v="AMZ10012"/>
    <x v="10"/>
    <s v="2025-09-29"/>
    <s v="Priya"/>
    <x v="5"/>
    <x v="0"/>
    <s v="Accessories"/>
    <x v="2"/>
    <s v="Karnataka"/>
    <s v="Bengaluru"/>
    <x v="1"/>
    <n v="3"/>
    <n v="2295"/>
    <n v="15"/>
    <n v="428.9"/>
  </r>
  <r>
    <s v="AMZ10013"/>
    <x v="11"/>
    <s v="2025-01-14"/>
    <s v="Sneha"/>
    <x v="0"/>
    <x v="0"/>
    <s v="Computers"/>
    <x v="3"/>
    <s v="Punjab"/>
    <s v="Ludhiana"/>
    <x v="3"/>
    <n v="3"/>
    <n v="156750"/>
    <n v="5"/>
    <n v="16050.18"/>
  </r>
  <r>
    <s v="AMZ10014"/>
    <x v="12"/>
    <s v="2025-12-15"/>
    <s v="Prem"/>
    <x v="1"/>
    <x v="1"/>
    <s v="Chairs"/>
    <x v="2"/>
    <s v="Karnataka"/>
    <s v="Bengaluru"/>
    <x v="1"/>
    <n v="5"/>
    <n v="29250"/>
    <n v="10"/>
    <n v="4627.25"/>
  </r>
  <r>
    <s v="AMZ10015"/>
    <x v="13"/>
    <s v="2025-09-13"/>
    <s v="Riya"/>
    <x v="3"/>
    <x v="2"/>
    <s v="Stationery"/>
    <x v="3"/>
    <s v="Delhi"/>
    <s v="New Delhi"/>
    <x v="0"/>
    <n v="3"/>
    <n v="997.5"/>
    <n v="5"/>
    <n v="177.57"/>
  </r>
  <r>
    <s v="AMZ10016"/>
    <x v="14"/>
    <s v="2025-12-22"/>
    <s v="Prem"/>
    <x v="6"/>
    <x v="0"/>
    <s v="Accessories"/>
    <x v="2"/>
    <s v="Tamil Nadu"/>
    <s v="Chennai"/>
    <x v="1"/>
    <n v="3"/>
    <n v="5280"/>
    <n v="20"/>
    <n v="813.86"/>
  </r>
  <r>
    <s v="AMZ10017"/>
    <x v="15"/>
    <s v="2025-06-12"/>
    <s v="Neha"/>
    <x v="4"/>
    <x v="0"/>
    <s v="Printers"/>
    <x v="2"/>
    <s v="Karnataka"/>
    <s v="Bengaluru"/>
    <x v="3"/>
    <n v="2"/>
    <n v="20400"/>
    <n v="15"/>
    <n v="3193.65"/>
  </r>
  <r>
    <s v="AMZ10018"/>
    <x v="16"/>
    <s v="2025-05-09"/>
    <s v="Karan"/>
    <x v="7"/>
    <x v="3"/>
    <s v="Travel"/>
    <x v="0"/>
    <s v="Odisha"/>
    <s v="Bhubaneswar"/>
    <x v="2"/>
    <n v="5"/>
    <n v="8550"/>
    <n v="5"/>
    <n v="960.64"/>
  </r>
  <r>
    <s v="AMZ10019"/>
    <x v="17"/>
    <s v="2025-02-24"/>
    <s v="Priya"/>
    <x v="8"/>
    <x v="1"/>
    <s v="Tables"/>
    <x v="2"/>
    <s v="Karnataka"/>
    <s v="Bengaluru"/>
    <x v="2"/>
    <n v="1"/>
    <n v="6800"/>
    <n v="20"/>
    <n v="1049.49"/>
  </r>
  <r>
    <s v="AMZ10020"/>
    <x v="18"/>
    <s v="2025-03-18"/>
    <s v="Prem"/>
    <x v="4"/>
    <x v="0"/>
    <s v="Printers"/>
    <x v="0"/>
    <s v="Odisha"/>
    <s v="Bhubaneswar"/>
    <x v="3"/>
    <n v="5"/>
    <n v="48000"/>
    <n v="20"/>
    <n v="8949.5"/>
  </r>
  <r>
    <s v="AMZ10021"/>
    <x v="19"/>
    <s v="2025-03-29"/>
    <s v="Sneha"/>
    <x v="2"/>
    <x v="0"/>
    <s v="Accessories"/>
    <x v="2"/>
    <s v="Tamil Nadu"/>
    <s v="Chennai"/>
    <x v="2"/>
    <n v="3"/>
    <n v="4275"/>
    <n v="5"/>
    <n v="702.43"/>
  </r>
  <r>
    <s v="AMZ10022"/>
    <x v="20"/>
    <s v="2025-09-02"/>
    <s v="Priya"/>
    <x v="9"/>
    <x v="4"/>
    <s v="Kitchen"/>
    <x v="1"/>
    <s v="Maharashtra"/>
    <s v="Pune"/>
    <x v="0"/>
    <n v="2"/>
    <n v="765"/>
    <n v="15"/>
    <n v="107.04"/>
  </r>
  <r>
    <s v="AMZ10023"/>
    <x v="21"/>
    <s v="2025-04-08"/>
    <s v="Neha"/>
    <x v="8"/>
    <x v="1"/>
    <s v="Tables"/>
    <x v="3"/>
    <s v="Delhi"/>
    <s v="New Delhi"/>
    <x v="1"/>
    <n v="3"/>
    <n v="24225"/>
    <n v="5"/>
    <n v="3549.47"/>
  </r>
  <r>
    <s v="AMZ10024"/>
    <x v="22"/>
    <s v="2025-06-03"/>
    <s v="Prem"/>
    <x v="8"/>
    <x v="1"/>
    <s v="Tables"/>
    <x v="2"/>
    <s v="Tamil Nadu"/>
    <s v="Chennai"/>
    <x v="3"/>
    <n v="2"/>
    <n v="17000"/>
    <n v="0"/>
    <n v="2919.33"/>
  </r>
  <r>
    <s v="AMZ10025"/>
    <x v="23"/>
    <s v="2025-08-09"/>
    <s v="Amit"/>
    <x v="1"/>
    <x v="1"/>
    <s v="Chairs"/>
    <x v="1"/>
    <s v="Maharashtra"/>
    <s v="Mumbai"/>
    <x v="1"/>
    <n v="5"/>
    <n v="32500"/>
    <n v="0"/>
    <n v="5846.63"/>
  </r>
  <r>
    <s v="AMZ10026"/>
    <x v="24"/>
    <s v="2025-01-18"/>
    <s v="Mehul"/>
    <x v="4"/>
    <x v="0"/>
    <s v="Printers"/>
    <x v="2"/>
    <s v="Tamil Nadu"/>
    <s v="Chennai"/>
    <x v="2"/>
    <n v="4"/>
    <n v="38400"/>
    <n v="20"/>
    <n v="7385.2"/>
  </r>
  <r>
    <s v="AMZ10027"/>
    <x v="25"/>
    <s v="2025-08-30"/>
    <s v="Amit"/>
    <x v="7"/>
    <x v="3"/>
    <s v="Travel"/>
    <x v="3"/>
    <s v="Delhi"/>
    <s v="New Delhi"/>
    <x v="2"/>
    <n v="5"/>
    <n v="7200"/>
    <n v="20"/>
    <n v="815.76"/>
  </r>
  <r>
    <s v="AMZ10028"/>
    <x v="26"/>
    <s v="2025-07-19"/>
    <s v="Mehul"/>
    <x v="5"/>
    <x v="0"/>
    <s v="Accessories"/>
    <x v="2"/>
    <s v="Karnataka"/>
    <s v="Bengaluru"/>
    <x v="0"/>
    <n v="2"/>
    <n v="1440"/>
    <n v="20"/>
    <n v="158.66999999999999"/>
  </r>
  <r>
    <s v="AMZ10029"/>
    <x v="27"/>
    <s v="2025-07-10"/>
    <s v="Vikas"/>
    <x v="6"/>
    <x v="0"/>
    <s v="Accessories"/>
    <x v="0"/>
    <s v="West Bengal"/>
    <s v="Kolkata"/>
    <x v="0"/>
    <n v="3"/>
    <n v="6600"/>
    <n v="0"/>
    <n v="593.75"/>
  </r>
  <r>
    <s v="AMZ10030"/>
    <x v="28"/>
    <s v="2025-01-29"/>
    <s v="Priya"/>
    <x v="6"/>
    <x v="0"/>
    <s v="Accessories"/>
    <x v="3"/>
    <s v="Punjab"/>
    <s v="Ludhiana"/>
    <x v="1"/>
    <n v="5"/>
    <n v="9900"/>
    <n v="10"/>
    <n v="1640.91"/>
  </r>
  <r>
    <s v="AMZ10031"/>
    <x v="29"/>
    <s v="2025-05-22"/>
    <s v="Prem"/>
    <x v="0"/>
    <x v="0"/>
    <s v="Computers"/>
    <x v="0"/>
    <s v="West Bengal"/>
    <s v="Kolkata"/>
    <x v="3"/>
    <n v="1"/>
    <n v="49500"/>
    <n v="10"/>
    <n v="10199.799999999999"/>
  </r>
  <r>
    <s v="AMZ10032"/>
    <x v="30"/>
    <s v="2025-07-08"/>
    <s v="Riya"/>
    <x v="5"/>
    <x v="0"/>
    <s v="Accessories"/>
    <x v="1"/>
    <s v="Maharashtra"/>
    <s v="Mumbai"/>
    <x v="2"/>
    <n v="3"/>
    <n v="2160"/>
    <n v="20"/>
    <n v="415.5"/>
  </r>
  <r>
    <s v="AMZ10033"/>
    <x v="31"/>
    <s v="2025-04-28"/>
    <s v="Vikas"/>
    <x v="0"/>
    <x v="0"/>
    <s v="Computers"/>
    <x v="2"/>
    <s v="Tamil Nadu"/>
    <s v="Chennai"/>
    <x v="2"/>
    <n v="4"/>
    <n v="220000"/>
    <n v="0"/>
    <n v="47833.84"/>
  </r>
  <r>
    <s v="AMZ10034"/>
    <x v="32"/>
    <s v="2025-02-18"/>
    <s v="Rahul"/>
    <x v="5"/>
    <x v="0"/>
    <s v="Accessories"/>
    <x v="0"/>
    <s v="Odisha"/>
    <s v="Bhubaneswar"/>
    <x v="1"/>
    <n v="1"/>
    <n v="900"/>
    <n v="0"/>
    <n v="76.209999999999994"/>
  </r>
  <r>
    <s v="AMZ10035"/>
    <x v="33"/>
    <s v="2025-12-04"/>
    <s v="Amit"/>
    <x v="4"/>
    <x v="0"/>
    <s v="Printers"/>
    <x v="1"/>
    <s v="Maharashtra"/>
    <s v="Mumbai"/>
    <x v="0"/>
    <n v="5"/>
    <n v="57000"/>
    <n v="5"/>
    <n v="11743.25"/>
  </r>
  <r>
    <s v="AMZ10036"/>
    <x v="34"/>
    <s v="2025-10-10"/>
    <s v="Neha"/>
    <x v="7"/>
    <x v="3"/>
    <s v="Travel"/>
    <x v="3"/>
    <s v="Punjab"/>
    <s v="Ludhiana"/>
    <x v="3"/>
    <n v="1"/>
    <n v="1530"/>
    <n v="15"/>
    <n v="277.37"/>
  </r>
  <r>
    <s v="AMZ10037"/>
    <x v="11"/>
    <s v="2025-01-17"/>
    <s v="Mehul"/>
    <x v="8"/>
    <x v="1"/>
    <s v="Tables"/>
    <x v="1"/>
    <s v="Gujarat"/>
    <s v="Surat"/>
    <x v="0"/>
    <n v="2"/>
    <n v="16150"/>
    <n v="5"/>
    <n v="3336.99"/>
  </r>
  <r>
    <s v="AMZ10038"/>
    <x v="35"/>
    <s v="2025-11-08"/>
    <s v="Riya"/>
    <x v="9"/>
    <x v="4"/>
    <s v="Kitchen"/>
    <x v="0"/>
    <s v="Odisha"/>
    <s v="Bhubaneswar"/>
    <x v="2"/>
    <n v="3"/>
    <n v="1350"/>
    <n v="0"/>
    <n v="291.85000000000002"/>
  </r>
  <r>
    <s v="AMZ10039"/>
    <x v="36"/>
    <s v="2025-09-25"/>
    <s v="Rahul"/>
    <x v="3"/>
    <x v="2"/>
    <s v="Stationery"/>
    <x v="1"/>
    <s v="Maharashtra"/>
    <s v="Pune"/>
    <x v="1"/>
    <n v="2"/>
    <n v="595"/>
    <n v="15"/>
    <n v="83.26"/>
  </r>
  <r>
    <s v="AMZ10040"/>
    <x v="37"/>
    <s v="2025-08-22"/>
    <s v="Karan"/>
    <x v="3"/>
    <x v="2"/>
    <s v="Stationery"/>
    <x v="0"/>
    <s v="West Bengal"/>
    <s v="Kolkata"/>
    <x v="3"/>
    <n v="4"/>
    <n v="1260"/>
    <n v="10"/>
    <n v="186.67"/>
  </r>
  <r>
    <s v="AMZ10041"/>
    <x v="31"/>
    <s v="2025-04-25"/>
    <s v="Riya"/>
    <x v="6"/>
    <x v="0"/>
    <s v="Accessories"/>
    <x v="3"/>
    <s v="Delhi"/>
    <s v="New Delhi"/>
    <x v="2"/>
    <n v="5"/>
    <n v="9900"/>
    <n v="10"/>
    <n v="1902.57"/>
  </r>
  <r>
    <s v="AMZ10042"/>
    <x v="38"/>
    <s v="2025-05-29"/>
    <s v="Priya"/>
    <x v="8"/>
    <x v="1"/>
    <s v="Tables"/>
    <x v="1"/>
    <s v="Gujarat"/>
    <s v="Surat"/>
    <x v="0"/>
    <n v="2"/>
    <n v="16150"/>
    <n v="5"/>
    <n v="1569.51"/>
  </r>
  <r>
    <s v="AMZ10043"/>
    <x v="39"/>
    <s v="2025-10-21"/>
    <s v="Priya"/>
    <x v="0"/>
    <x v="0"/>
    <s v="Computers"/>
    <x v="2"/>
    <s v="Tamil Nadu"/>
    <s v="Chennai"/>
    <x v="3"/>
    <n v="5"/>
    <n v="233750"/>
    <n v="15"/>
    <n v="19755.3"/>
  </r>
  <r>
    <s v="AMZ10044"/>
    <x v="40"/>
    <s v="2025-05-21"/>
    <s v="Karan"/>
    <x v="7"/>
    <x v="3"/>
    <s v="Travel"/>
    <x v="2"/>
    <s v="Tamil Nadu"/>
    <s v="Chennai"/>
    <x v="2"/>
    <n v="5"/>
    <n v="7650"/>
    <n v="15"/>
    <n v="1569.54"/>
  </r>
  <r>
    <s v="AMZ10045"/>
    <x v="41"/>
    <s v="2025-12-02"/>
    <s v="Riya"/>
    <x v="6"/>
    <x v="0"/>
    <s v="Accessories"/>
    <x v="3"/>
    <s v="Delhi"/>
    <s v="New Delhi"/>
    <x v="1"/>
    <n v="1"/>
    <n v="1760"/>
    <n v="20"/>
    <n v="269.95"/>
  </r>
  <r>
    <s v="AMZ10046"/>
    <x v="42"/>
    <s v="2025-04-27"/>
    <s v="Riya"/>
    <x v="5"/>
    <x v="0"/>
    <s v="Accessories"/>
    <x v="3"/>
    <s v="Punjab"/>
    <s v="Ludhiana"/>
    <x v="1"/>
    <n v="5"/>
    <n v="3600"/>
    <n v="20"/>
    <n v="677.66"/>
  </r>
  <r>
    <s v="AMZ10047"/>
    <x v="43"/>
    <s v="2025-04-22"/>
    <s v="Mehul"/>
    <x v="0"/>
    <x v="0"/>
    <s v="Computers"/>
    <x v="1"/>
    <s v="Gujarat"/>
    <s v="Surat"/>
    <x v="0"/>
    <n v="4"/>
    <n v="187000"/>
    <n v="15"/>
    <n v="34083.75"/>
  </r>
  <r>
    <s v="AMZ10048"/>
    <x v="44"/>
    <s v="2025-07-20"/>
    <s v="Karan"/>
    <x v="3"/>
    <x v="2"/>
    <s v="Stationery"/>
    <x v="1"/>
    <s v="Gujarat"/>
    <s v="Surat"/>
    <x v="1"/>
    <n v="4"/>
    <n v="1330"/>
    <n v="5"/>
    <n v="153.77000000000001"/>
  </r>
  <r>
    <s v="AMZ10049"/>
    <x v="45"/>
    <s v="2025-04-19"/>
    <s v="Vikas"/>
    <x v="3"/>
    <x v="2"/>
    <s v="Stationery"/>
    <x v="2"/>
    <s v="Tamil Nadu"/>
    <s v="Chennai"/>
    <x v="1"/>
    <n v="1"/>
    <n v="297.5"/>
    <n v="15"/>
    <n v="44.22"/>
  </r>
  <r>
    <s v="AMZ10050"/>
    <x v="46"/>
    <s v="2025-02-28"/>
    <s v="Prem"/>
    <x v="7"/>
    <x v="3"/>
    <s v="Travel"/>
    <x v="0"/>
    <s v="Odisha"/>
    <s v="Bhubaneswar"/>
    <x v="0"/>
    <n v="2"/>
    <n v="3060"/>
    <n v="15"/>
    <n v="324.29000000000002"/>
  </r>
  <r>
    <s v="AMZ10051"/>
    <x v="47"/>
    <s v="2025-07-14"/>
    <s v="Karan"/>
    <x v="9"/>
    <x v="4"/>
    <s v="Kitchen"/>
    <x v="0"/>
    <s v="Odisha"/>
    <s v="Bhubaneswar"/>
    <x v="3"/>
    <n v="3"/>
    <n v="1282.5"/>
    <n v="5"/>
    <n v="243.04"/>
  </r>
  <r>
    <s v="AMZ10052"/>
    <x v="48"/>
    <s v="2025-11-11"/>
    <s v="Vikas"/>
    <x v="1"/>
    <x v="1"/>
    <s v="Chairs"/>
    <x v="1"/>
    <s v="Gujarat"/>
    <s v="Surat"/>
    <x v="2"/>
    <n v="3"/>
    <n v="18525"/>
    <n v="5"/>
    <n v="2578.16"/>
  </r>
  <r>
    <s v="AMZ10053"/>
    <x v="49"/>
    <s v="2025-02-23"/>
    <s v="Riya"/>
    <x v="1"/>
    <x v="1"/>
    <s v="Chairs"/>
    <x v="1"/>
    <s v="Gujarat"/>
    <s v="Surat"/>
    <x v="3"/>
    <n v="5"/>
    <n v="32500"/>
    <n v="0"/>
    <n v="2946.68"/>
  </r>
  <r>
    <s v="AMZ10054"/>
    <x v="50"/>
    <s v="2025-01-10"/>
    <s v="Rahul"/>
    <x v="3"/>
    <x v="2"/>
    <s v="Stationery"/>
    <x v="2"/>
    <s v="Karnataka"/>
    <s v="Bengaluru"/>
    <x v="3"/>
    <n v="1"/>
    <n v="280"/>
    <n v="20"/>
    <n v="53.93"/>
  </r>
  <r>
    <s v="AMZ10055"/>
    <x v="51"/>
    <s v="2025-06-11"/>
    <s v="Vikas"/>
    <x v="2"/>
    <x v="0"/>
    <s v="Accessories"/>
    <x v="1"/>
    <s v="Maharashtra"/>
    <s v="Pune"/>
    <x v="2"/>
    <n v="1"/>
    <n v="1425"/>
    <n v="5"/>
    <n v="170.37"/>
  </r>
  <r>
    <s v="AMZ10056"/>
    <x v="52"/>
    <s v="2025-02-07"/>
    <s v="Mehul"/>
    <x v="3"/>
    <x v="2"/>
    <s v="Stationery"/>
    <x v="1"/>
    <s v="Maharashtra"/>
    <s v="Mumbai"/>
    <x v="1"/>
    <n v="1"/>
    <n v="350"/>
    <n v="0"/>
    <n v="74.319999999999993"/>
  </r>
  <r>
    <s v="AMZ10057"/>
    <x v="53"/>
    <s v="2025-10-12"/>
    <s v="Prem"/>
    <x v="8"/>
    <x v="1"/>
    <s v="Tables"/>
    <x v="1"/>
    <s v="Maharashtra"/>
    <s v="Mumbai"/>
    <x v="1"/>
    <n v="2"/>
    <n v="13600"/>
    <n v="20"/>
    <n v="1604.25"/>
  </r>
  <r>
    <s v="AMZ10058"/>
    <x v="14"/>
    <s v="2025-12-20"/>
    <s v="Vikas"/>
    <x v="0"/>
    <x v="0"/>
    <s v="Computers"/>
    <x v="3"/>
    <s v="Delhi"/>
    <s v="New Delhi"/>
    <x v="0"/>
    <n v="4"/>
    <n v="187000"/>
    <n v="15"/>
    <n v="15244.73"/>
  </r>
  <r>
    <s v="AMZ10059"/>
    <x v="54"/>
    <s v="2025-10-20"/>
    <s v="Sneha"/>
    <x v="6"/>
    <x v="0"/>
    <s v="Accessories"/>
    <x v="0"/>
    <s v="West Bengal"/>
    <s v="Kolkata"/>
    <x v="1"/>
    <n v="4"/>
    <n v="7920"/>
    <n v="10"/>
    <n v="1061.1500000000001"/>
  </r>
  <r>
    <s v="AMZ10060"/>
    <x v="55"/>
    <s v="2025-05-28"/>
    <s v="Vikas"/>
    <x v="0"/>
    <x v="0"/>
    <s v="Computers"/>
    <x v="0"/>
    <s v="Odisha"/>
    <s v="Bhubaneswar"/>
    <x v="2"/>
    <n v="1"/>
    <n v="49500"/>
    <n v="10"/>
    <n v="8037.17"/>
  </r>
  <r>
    <s v="AMZ10061"/>
    <x v="56"/>
    <s v="2025-02-10"/>
    <s v="Priya"/>
    <x v="1"/>
    <x v="1"/>
    <s v="Chairs"/>
    <x v="3"/>
    <s v="Punjab"/>
    <s v="Ludhiana"/>
    <x v="0"/>
    <n v="4"/>
    <n v="20800"/>
    <n v="20"/>
    <n v="2791.25"/>
  </r>
  <r>
    <s v="AMZ10062"/>
    <x v="57"/>
    <s v="2025-04-30"/>
    <s v="Amit"/>
    <x v="9"/>
    <x v="4"/>
    <s v="Kitchen"/>
    <x v="0"/>
    <s v="Odisha"/>
    <s v="Bhubaneswar"/>
    <x v="0"/>
    <n v="4"/>
    <n v="1710"/>
    <n v="5"/>
    <n v="293.02"/>
  </r>
  <r>
    <s v="AMZ10063"/>
    <x v="58"/>
    <s v="2025-12-27"/>
    <s v="Rahul"/>
    <x v="1"/>
    <x v="1"/>
    <s v="Chairs"/>
    <x v="3"/>
    <s v="Delhi"/>
    <s v="New Delhi"/>
    <x v="1"/>
    <n v="1"/>
    <n v="5525"/>
    <n v="15"/>
    <n v="1076.73"/>
  </r>
  <r>
    <s v="AMZ10064"/>
    <x v="59"/>
    <s v="2025-04-02"/>
    <s v="Sneha"/>
    <x v="1"/>
    <x v="1"/>
    <s v="Chairs"/>
    <x v="0"/>
    <s v="West Bengal"/>
    <s v="Kolkata"/>
    <x v="2"/>
    <n v="2"/>
    <n v="13000"/>
    <n v="0"/>
    <n v="2251.61"/>
  </r>
  <r>
    <s v="AMZ10065"/>
    <x v="53"/>
    <s v="2025-10-11"/>
    <s v="Vikas"/>
    <x v="0"/>
    <x v="0"/>
    <s v="Computers"/>
    <x v="2"/>
    <s v="Karnataka"/>
    <s v="Bengaluru"/>
    <x v="2"/>
    <n v="4"/>
    <n v="176000"/>
    <n v="20"/>
    <n v="36931.74"/>
  </r>
  <r>
    <s v="AMZ10066"/>
    <x v="60"/>
    <s v="2025-06-16"/>
    <s v="Prem"/>
    <x v="4"/>
    <x v="0"/>
    <s v="Printers"/>
    <x v="1"/>
    <s v="Maharashtra"/>
    <s v="Pune"/>
    <x v="1"/>
    <n v="4"/>
    <n v="38400"/>
    <n v="20"/>
    <n v="5751.75"/>
  </r>
  <r>
    <s v="AMZ10067"/>
    <x v="61"/>
    <s v="2025-10-19"/>
    <s v="Sneha"/>
    <x v="1"/>
    <x v="1"/>
    <s v="Chairs"/>
    <x v="2"/>
    <s v="Karnataka"/>
    <s v="Bengaluru"/>
    <x v="3"/>
    <n v="4"/>
    <n v="20800"/>
    <n v="20"/>
    <n v="2996.77"/>
  </r>
  <r>
    <s v="AMZ10068"/>
    <x v="62"/>
    <s v="2025-04-04"/>
    <s v="Amit"/>
    <x v="8"/>
    <x v="1"/>
    <s v="Tables"/>
    <x v="1"/>
    <s v="Gujarat"/>
    <s v="Surat"/>
    <x v="0"/>
    <n v="3"/>
    <n v="22950"/>
    <n v="10"/>
    <n v="4604.6099999999997"/>
  </r>
  <r>
    <s v="AMZ10069"/>
    <x v="63"/>
    <s v="2025-03-01"/>
    <s v="Vikas"/>
    <x v="7"/>
    <x v="3"/>
    <s v="Travel"/>
    <x v="3"/>
    <s v="Delhi"/>
    <s v="New Delhi"/>
    <x v="2"/>
    <n v="5"/>
    <n v="9000"/>
    <n v="0"/>
    <n v="1143.1099999999999"/>
  </r>
  <r>
    <s v="AMZ10070"/>
    <x v="64"/>
    <s v="2025-08-18"/>
    <s v="Neha"/>
    <x v="2"/>
    <x v="0"/>
    <s v="Accessories"/>
    <x v="2"/>
    <s v="Tamil Nadu"/>
    <s v="Chennai"/>
    <x v="0"/>
    <n v="1"/>
    <n v="1500"/>
    <n v="0"/>
    <n v="151.97999999999999"/>
  </r>
  <r>
    <s v="AMZ10071"/>
    <x v="65"/>
    <s v="2025-11-28"/>
    <s v="Karan"/>
    <x v="4"/>
    <x v="0"/>
    <s v="Printers"/>
    <x v="3"/>
    <s v="Delhi"/>
    <s v="New Delhi"/>
    <x v="3"/>
    <n v="4"/>
    <n v="48000"/>
    <n v="0"/>
    <n v="4748.42"/>
  </r>
  <r>
    <s v="AMZ10072"/>
    <x v="66"/>
    <s v="2025-03-14"/>
    <s v="Karan"/>
    <x v="9"/>
    <x v="4"/>
    <s v="Kitchen"/>
    <x v="3"/>
    <s v="Delhi"/>
    <s v="New Delhi"/>
    <x v="0"/>
    <n v="4"/>
    <n v="1800"/>
    <n v="0"/>
    <n v="387.69"/>
  </r>
  <r>
    <s v="AMZ10073"/>
    <x v="67"/>
    <s v="2025-04-06"/>
    <s v="Prem"/>
    <x v="6"/>
    <x v="0"/>
    <s v="Accessories"/>
    <x v="0"/>
    <s v="West Bengal"/>
    <s v="Kolkata"/>
    <x v="1"/>
    <n v="1"/>
    <n v="1870"/>
    <n v="15"/>
    <n v="184.94"/>
  </r>
  <r>
    <s v="AMZ10074"/>
    <x v="68"/>
    <s v="2025-03-28"/>
    <s v="Vikas"/>
    <x v="4"/>
    <x v="0"/>
    <s v="Printers"/>
    <x v="0"/>
    <s v="West Bengal"/>
    <s v="Kolkata"/>
    <x v="2"/>
    <n v="1"/>
    <n v="10200"/>
    <n v="15"/>
    <n v="1924.25"/>
  </r>
  <r>
    <s v="AMZ10075"/>
    <x v="69"/>
    <s v="2025-10-08"/>
    <s v="Rahul"/>
    <x v="4"/>
    <x v="0"/>
    <s v="Printers"/>
    <x v="2"/>
    <s v="Karnataka"/>
    <s v="Bengaluru"/>
    <x v="3"/>
    <n v="1"/>
    <n v="12000"/>
    <n v="0"/>
    <n v="2358.59"/>
  </r>
  <r>
    <s v="AMZ10076"/>
    <x v="70"/>
    <s v="2025-07-03"/>
    <s v="Riya"/>
    <x v="0"/>
    <x v="0"/>
    <s v="Computers"/>
    <x v="0"/>
    <s v="Odisha"/>
    <s v="Bhubaneswar"/>
    <x v="3"/>
    <n v="4"/>
    <n v="198000"/>
    <n v="10"/>
    <n v="19094.25"/>
  </r>
  <r>
    <s v="AMZ10077"/>
    <x v="22"/>
    <s v="2025-06-02"/>
    <s v="Priya"/>
    <x v="8"/>
    <x v="1"/>
    <s v="Tables"/>
    <x v="2"/>
    <s v="Karnataka"/>
    <s v="Bengaluru"/>
    <x v="3"/>
    <n v="5"/>
    <n v="34000"/>
    <n v="20"/>
    <n v="3991.7"/>
  </r>
  <r>
    <s v="AMZ10078"/>
    <x v="59"/>
    <s v="2025-04-01"/>
    <s v="Rahul"/>
    <x v="6"/>
    <x v="0"/>
    <s v="Accessories"/>
    <x v="0"/>
    <s v="West Bengal"/>
    <s v="Kolkata"/>
    <x v="0"/>
    <n v="2"/>
    <n v="3960"/>
    <n v="10"/>
    <n v="823.96"/>
  </r>
  <r>
    <s v="AMZ10079"/>
    <x v="71"/>
    <s v="2025-06-13"/>
    <s v="Karan"/>
    <x v="7"/>
    <x v="3"/>
    <s v="Travel"/>
    <x v="2"/>
    <s v="Tamil Nadu"/>
    <s v="Chennai"/>
    <x v="2"/>
    <n v="2"/>
    <n v="2880"/>
    <n v="20"/>
    <n v="289.49"/>
  </r>
  <r>
    <s v="AMZ10080"/>
    <x v="34"/>
    <s v="2025-10-10"/>
    <s v="Prem"/>
    <x v="8"/>
    <x v="1"/>
    <s v="Tables"/>
    <x v="3"/>
    <s v="Delhi"/>
    <s v="New Delhi"/>
    <x v="2"/>
    <n v="3"/>
    <n v="20400"/>
    <n v="20"/>
    <n v="2409.44"/>
  </r>
  <r>
    <s v="AMZ10081"/>
    <x v="72"/>
    <s v="2025-12-01"/>
    <s v="Karan"/>
    <x v="5"/>
    <x v="0"/>
    <s v="Accessories"/>
    <x v="1"/>
    <s v="Maharashtra"/>
    <s v="Pune"/>
    <x v="0"/>
    <n v="4"/>
    <n v="3060"/>
    <n v="15"/>
    <n v="344.79"/>
  </r>
  <r>
    <s v="AMZ10082"/>
    <x v="73"/>
    <s v="2025-12-06"/>
    <s v="Karan"/>
    <x v="0"/>
    <x v="0"/>
    <s v="Computers"/>
    <x v="2"/>
    <s v="Karnataka"/>
    <s v="Bengaluru"/>
    <x v="2"/>
    <n v="3"/>
    <n v="132000"/>
    <n v="20"/>
    <n v="17602.939999999999"/>
  </r>
  <r>
    <s v="AMZ10083"/>
    <x v="74"/>
    <s v="2025-05-22"/>
    <s v="Sneha"/>
    <x v="5"/>
    <x v="0"/>
    <s v="Accessories"/>
    <x v="3"/>
    <s v="Punjab"/>
    <s v="Ludhiana"/>
    <x v="3"/>
    <n v="1"/>
    <n v="810"/>
    <n v="10"/>
    <n v="90.28"/>
  </r>
  <r>
    <s v="AMZ10084"/>
    <x v="75"/>
    <s v="2025-05-08"/>
    <s v="Vikas"/>
    <x v="6"/>
    <x v="0"/>
    <s v="Accessories"/>
    <x v="3"/>
    <s v="Punjab"/>
    <s v="Ludhiana"/>
    <x v="2"/>
    <n v="4"/>
    <n v="7040"/>
    <n v="20"/>
    <n v="1049.18"/>
  </r>
  <r>
    <s v="AMZ10085"/>
    <x v="34"/>
    <s v="2025-10-07"/>
    <s v="Rahul"/>
    <x v="6"/>
    <x v="0"/>
    <s v="Accessories"/>
    <x v="1"/>
    <s v="Gujarat"/>
    <s v="Surat"/>
    <x v="0"/>
    <n v="4"/>
    <n v="7920"/>
    <n v="10"/>
    <n v="810.74"/>
  </r>
  <r>
    <s v="AMZ10086"/>
    <x v="76"/>
    <s v="2025-11-11"/>
    <s v="Rahul"/>
    <x v="9"/>
    <x v="4"/>
    <s v="Kitchen"/>
    <x v="3"/>
    <s v="Punjab"/>
    <s v="Ludhiana"/>
    <x v="1"/>
    <n v="3"/>
    <n v="1147.5"/>
    <n v="15"/>
    <n v="237.72"/>
  </r>
  <r>
    <s v="AMZ10087"/>
    <x v="77"/>
    <s v="2025-10-27"/>
    <s v="Prem"/>
    <x v="9"/>
    <x v="4"/>
    <s v="Kitchen"/>
    <x v="2"/>
    <s v="Tamil Nadu"/>
    <s v="Chennai"/>
    <x v="1"/>
    <n v="1"/>
    <n v="427.5"/>
    <n v="5"/>
    <n v="61.67"/>
  </r>
  <r>
    <s v="AMZ10088"/>
    <x v="33"/>
    <s v="2025-11-29"/>
    <s v="Karan"/>
    <x v="2"/>
    <x v="0"/>
    <s v="Accessories"/>
    <x v="1"/>
    <s v="Gujarat"/>
    <s v="Surat"/>
    <x v="0"/>
    <n v="5"/>
    <n v="7125"/>
    <n v="5"/>
    <n v="862.3"/>
  </r>
  <r>
    <s v="AMZ10089"/>
    <x v="78"/>
    <s v="2025-09-11"/>
    <s v="Vikas"/>
    <x v="8"/>
    <x v="1"/>
    <s v="Tables"/>
    <x v="2"/>
    <s v="Karnataka"/>
    <s v="Bengaluru"/>
    <x v="0"/>
    <n v="2"/>
    <n v="13600"/>
    <n v="20"/>
    <n v="1211.46"/>
  </r>
  <r>
    <s v="AMZ10090"/>
    <x v="79"/>
    <s v="2025-07-27"/>
    <s v="Karan"/>
    <x v="1"/>
    <x v="1"/>
    <s v="Chairs"/>
    <x v="0"/>
    <s v="Odisha"/>
    <s v="Bhubaneswar"/>
    <x v="0"/>
    <n v="2"/>
    <n v="13000"/>
    <n v="0"/>
    <n v="1432.01"/>
  </r>
  <r>
    <s v="AMZ10091"/>
    <x v="80"/>
    <s v="2025-01-11"/>
    <s v="Amit"/>
    <x v="7"/>
    <x v="3"/>
    <s v="Travel"/>
    <x v="1"/>
    <s v="Gujarat"/>
    <s v="Surat"/>
    <x v="2"/>
    <n v="4"/>
    <n v="6840"/>
    <n v="5"/>
    <n v="809.32"/>
  </r>
  <r>
    <s v="AMZ10092"/>
    <x v="81"/>
    <s v="2025-09-12"/>
    <s v="Priya"/>
    <x v="1"/>
    <x v="1"/>
    <s v="Chairs"/>
    <x v="3"/>
    <s v="Delhi"/>
    <s v="New Delhi"/>
    <x v="0"/>
    <n v="4"/>
    <n v="22100"/>
    <n v="15"/>
    <n v="2580.1"/>
  </r>
  <r>
    <s v="AMZ10093"/>
    <x v="82"/>
    <s v="2025-07-14"/>
    <s v="Mehul"/>
    <x v="6"/>
    <x v="0"/>
    <s v="Accessories"/>
    <x v="3"/>
    <s v="Delhi"/>
    <s v="New Delhi"/>
    <x v="0"/>
    <n v="1"/>
    <n v="2090"/>
    <n v="5"/>
    <n v="400.6"/>
  </r>
  <r>
    <s v="AMZ10094"/>
    <x v="22"/>
    <s v="2025-06-03"/>
    <s v="Riya"/>
    <x v="3"/>
    <x v="2"/>
    <s v="Stationery"/>
    <x v="1"/>
    <s v="Maharashtra"/>
    <s v="Mumbai"/>
    <x v="1"/>
    <n v="5"/>
    <n v="1400"/>
    <n v="20"/>
    <n v="195.57"/>
  </r>
  <r>
    <s v="AMZ10095"/>
    <x v="83"/>
    <s v="2025-10-27"/>
    <s v="Karan"/>
    <x v="2"/>
    <x v="0"/>
    <s v="Accessories"/>
    <x v="3"/>
    <s v="Punjab"/>
    <s v="Ludhiana"/>
    <x v="3"/>
    <n v="4"/>
    <n v="6000"/>
    <n v="0"/>
    <n v="1151.3599999999999"/>
  </r>
  <r>
    <s v="AMZ10096"/>
    <x v="84"/>
    <s v="2025-10-14"/>
    <s v="Priya"/>
    <x v="0"/>
    <x v="0"/>
    <s v="Computers"/>
    <x v="3"/>
    <s v="Punjab"/>
    <s v="Ludhiana"/>
    <x v="2"/>
    <n v="1"/>
    <n v="52250"/>
    <n v="5"/>
    <n v="8078.59"/>
  </r>
  <r>
    <s v="AMZ10097"/>
    <x v="85"/>
    <s v="2025-11-12"/>
    <s v="Riya"/>
    <x v="7"/>
    <x v="3"/>
    <s v="Travel"/>
    <x v="2"/>
    <s v="Karnataka"/>
    <s v="Bengaluru"/>
    <x v="1"/>
    <n v="2"/>
    <n v="3240"/>
    <n v="10"/>
    <n v="536.46"/>
  </r>
  <r>
    <s v="AMZ10098"/>
    <x v="86"/>
    <s v="2025-10-15"/>
    <s v="Sneha"/>
    <x v="0"/>
    <x v="0"/>
    <s v="Computers"/>
    <x v="0"/>
    <s v="Odisha"/>
    <s v="Bhubaneswar"/>
    <x v="3"/>
    <n v="3"/>
    <n v="140250"/>
    <n v="15"/>
    <n v="24258.92"/>
  </r>
  <r>
    <s v="AMZ10099"/>
    <x v="87"/>
    <s v="2025-01-28"/>
    <s v="Mehul"/>
    <x v="5"/>
    <x v="0"/>
    <s v="Accessories"/>
    <x v="0"/>
    <s v="West Bengal"/>
    <s v="Kolkata"/>
    <x v="2"/>
    <n v="4"/>
    <n v="3420"/>
    <n v="5"/>
    <n v="464.08"/>
  </r>
  <r>
    <s v="AMZ10100"/>
    <x v="88"/>
    <s v="2025-09-08"/>
    <s v="Amit"/>
    <x v="3"/>
    <x v="2"/>
    <s v="Stationery"/>
    <x v="0"/>
    <s v="West Bengal"/>
    <s v="Kolkata"/>
    <x v="2"/>
    <n v="2"/>
    <n v="700"/>
    <n v="0"/>
    <n v="139.72999999999999"/>
  </r>
  <r>
    <s v="AMZ10101"/>
    <x v="89"/>
    <s v="2025-08-25"/>
    <s v="Karan"/>
    <x v="1"/>
    <x v="1"/>
    <s v="Chairs"/>
    <x v="1"/>
    <s v="Gujarat"/>
    <s v="Surat"/>
    <x v="0"/>
    <n v="2"/>
    <n v="11700"/>
    <n v="10"/>
    <n v="2261.9499999999998"/>
  </r>
  <r>
    <s v="AMZ10102"/>
    <x v="90"/>
    <s v="2025-01-29"/>
    <s v="Rahul"/>
    <x v="4"/>
    <x v="0"/>
    <s v="Printers"/>
    <x v="1"/>
    <s v="Gujarat"/>
    <s v="Surat"/>
    <x v="1"/>
    <n v="3"/>
    <n v="32400"/>
    <n v="10"/>
    <n v="3485.68"/>
  </r>
  <r>
    <s v="AMZ10103"/>
    <x v="91"/>
    <s v="2025-02-11"/>
    <s v="Neha"/>
    <x v="0"/>
    <x v="0"/>
    <s v="Computers"/>
    <x v="1"/>
    <s v="Maharashtra"/>
    <s v="Mumbai"/>
    <x v="2"/>
    <n v="4"/>
    <n v="198000"/>
    <n v="10"/>
    <n v="20332.25"/>
  </r>
  <r>
    <s v="AMZ10104"/>
    <x v="92"/>
    <s v="2025-05-06"/>
    <s v="Mehul"/>
    <x v="0"/>
    <x v="0"/>
    <s v="Computers"/>
    <x v="1"/>
    <s v="Maharashtra"/>
    <s v="Pune"/>
    <x v="0"/>
    <n v="4"/>
    <n v="176000"/>
    <n v="20"/>
    <n v="33516.910000000003"/>
  </r>
  <r>
    <s v="AMZ10105"/>
    <x v="93"/>
    <s v="2025-03-05"/>
    <s v="Rahul"/>
    <x v="5"/>
    <x v="0"/>
    <s v="Accessories"/>
    <x v="3"/>
    <s v="Delhi"/>
    <s v="New Delhi"/>
    <x v="0"/>
    <n v="3"/>
    <n v="2295"/>
    <n v="15"/>
    <n v="338.16"/>
  </r>
  <r>
    <s v="AMZ10106"/>
    <x v="33"/>
    <s v="2025-12-05"/>
    <s v="Rahul"/>
    <x v="5"/>
    <x v="0"/>
    <s v="Accessories"/>
    <x v="2"/>
    <s v="Karnataka"/>
    <s v="Bengaluru"/>
    <x v="3"/>
    <n v="5"/>
    <n v="4275"/>
    <n v="5"/>
    <n v="478.4"/>
  </r>
  <r>
    <s v="AMZ10107"/>
    <x v="94"/>
    <s v="2025-03-18"/>
    <s v="Rahul"/>
    <x v="4"/>
    <x v="0"/>
    <s v="Printers"/>
    <x v="2"/>
    <s v="Karnataka"/>
    <s v="Bengaluru"/>
    <x v="1"/>
    <n v="2"/>
    <n v="19200"/>
    <n v="20"/>
    <n v="3410.28"/>
  </r>
  <r>
    <s v="AMZ10108"/>
    <x v="95"/>
    <s v="2025-11-12"/>
    <s v="Rahul"/>
    <x v="6"/>
    <x v="0"/>
    <s v="Accessories"/>
    <x v="0"/>
    <s v="Odisha"/>
    <s v="Bhubaneswar"/>
    <x v="1"/>
    <n v="5"/>
    <n v="8800"/>
    <n v="20"/>
    <n v="1716.03"/>
  </r>
  <r>
    <s v="AMZ10109"/>
    <x v="11"/>
    <s v="2025-01-18"/>
    <s v="Riya"/>
    <x v="2"/>
    <x v="0"/>
    <s v="Accessories"/>
    <x v="2"/>
    <s v="Tamil Nadu"/>
    <s v="Chennai"/>
    <x v="2"/>
    <n v="3"/>
    <n v="3600"/>
    <n v="20"/>
    <n v="777.81"/>
  </r>
  <r>
    <s v="AMZ10110"/>
    <x v="59"/>
    <s v="2025-03-29"/>
    <s v="Priya"/>
    <x v="0"/>
    <x v="0"/>
    <s v="Computers"/>
    <x v="2"/>
    <s v="Karnataka"/>
    <s v="Bengaluru"/>
    <x v="2"/>
    <n v="1"/>
    <n v="46750"/>
    <n v="15"/>
    <n v="4607.83"/>
  </r>
  <r>
    <s v="AMZ10111"/>
    <x v="96"/>
    <s v="2025-08-27"/>
    <s v="Rahul"/>
    <x v="1"/>
    <x v="1"/>
    <s v="Chairs"/>
    <x v="1"/>
    <s v="Maharashtra"/>
    <s v="Pune"/>
    <x v="0"/>
    <n v="5"/>
    <n v="29250"/>
    <n v="10"/>
    <n v="3378.67"/>
  </r>
  <r>
    <s v="AMZ10112"/>
    <x v="97"/>
    <s v="2025-08-20"/>
    <s v="Vikas"/>
    <x v="1"/>
    <x v="1"/>
    <s v="Chairs"/>
    <x v="0"/>
    <s v="Odisha"/>
    <s v="Bhubaneswar"/>
    <x v="2"/>
    <n v="4"/>
    <n v="23400"/>
    <n v="10"/>
    <n v="4566.01"/>
  </r>
  <r>
    <s v="AMZ10113"/>
    <x v="98"/>
    <s v="2025-02-11"/>
    <s v="Amit"/>
    <x v="4"/>
    <x v="0"/>
    <s v="Printers"/>
    <x v="1"/>
    <s v="Maharashtra"/>
    <s v="Pune"/>
    <x v="3"/>
    <n v="4"/>
    <n v="48000"/>
    <n v="0"/>
    <n v="8222.2800000000007"/>
  </r>
  <r>
    <s v="AMZ10114"/>
    <x v="40"/>
    <s v="2025-05-22"/>
    <s v="Neha"/>
    <x v="2"/>
    <x v="0"/>
    <s v="Accessories"/>
    <x v="2"/>
    <s v="Tamil Nadu"/>
    <s v="Chennai"/>
    <x v="1"/>
    <n v="4"/>
    <n v="5400"/>
    <n v="10"/>
    <n v="1022.06"/>
  </r>
  <r>
    <s v="AMZ10115"/>
    <x v="99"/>
    <s v="2025-12-27"/>
    <s v="Prem"/>
    <x v="1"/>
    <x v="1"/>
    <s v="Chairs"/>
    <x v="1"/>
    <s v="Maharashtra"/>
    <s v="Mumbai"/>
    <x v="3"/>
    <n v="1"/>
    <n v="6175"/>
    <n v="5"/>
    <n v="910.11"/>
  </r>
  <r>
    <s v="AMZ10116"/>
    <x v="100"/>
    <s v="2025-12-03"/>
    <s v="Karan"/>
    <x v="7"/>
    <x v="3"/>
    <s v="Travel"/>
    <x v="0"/>
    <s v="Odisha"/>
    <s v="Bhubaneswar"/>
    <x v="0"/>
    <n v="2"/>
    <n v="3060"/>
    <n v="15"/>
    <n v="498.02"/>
  </r>
  <r>
    <s v="AMZ10117"/>
    <x v="45"/>
    <s v="2025-04-19"/>
    <s v="Riya"/>
    <x v="1"/>
    <x v="1"/>
    <s v="Chairs"/>
    <x v="1"/>
    <s v="Maharashtra"/>
    <s v="Mumbai"/>
    <x v="1"/>
    <n v="4"/>
    <n v="24700"/>
    <n v="5"/>
    <n v="5349.91"/>
  </r>
  <r>
    <s v="AMZ10118"/>
    <x v="27"/>
    <s v="2025-07-11"/>
    <s v="Rahul"/>
    <x v="7"/>
    <x v="3"/>
    <s v="Travel"/>
    <x v="0"/>
    <s v="West Bengal"/>
    <s v="Kolkata"/>
    <x v="1"/>
    <n v="2"/>
    <n v="3060"/>
    <n v="15"/>
    <n v="260.27"/>
  </r>
  <r>
    <s v="AMZ10119"/>
    <x v="101"/>
    <s v="2025-10-25"/>
    <s v="Rahul"/>
    <x v="6"/>
    <x v="0"/>
    <s v="Accessories"/>
    <x v="3"/>
    <s v="Punjab"/>
    <s v="Ludhiana"/>
    <x v="1"/>
    <n v="5"/>
    <n v="9900"/>
    <n v="10"/>
    <n v="1917.17"/>
  </r>
  <r>
    <s v="AMZ10120"/>
    <x v="69"/>
    <s v="2025-10-12"/>
    <s v="Neha"/>
    <x v="5"/>
    <x v="0"/>
    <s v="Accessories"/>
    <x v="1"/>
    <s v="Gujarat"/>
    <s v="Surat"/>
    <x v="3"/>
    <n v="3"/>
    <n v="2160"/>
    <n v="20"/>
    <n v="321.92"/>
  </r>
  <r>
    <s v="AMZ10121"/>
    <x v="5"/>
    <s v="2025-12-16"/>
    <s v="Prem"/>
    <x v="8"/>
    <x v="1"/>
    <s v="Tables"/>
    <x v="2"/>
    <s v="Tamil Nadu"/>
    <s v="Chennai"/>
    <x v="3"/>
    <n v="4"/>
    <n v="28900"/>
    <n v="15"/>
    <n v="3603.5"/>
  </r>
  <r>
    <s v="AMZ10122"/>
    <x v="26"/>
    <s v="2025-07-17"/>
    <s v="Prem"/>
    <x v="1"/>
    <x v="1"/>
    <s v="Chairs"/>
    <x v="1"/>
    <s v="Maharashtra"/>
    <s v="Mumbai"/>
    <x v="0"/>
    <n v="4"/>
    <n v="22100"/>
    <n v="15"/>
    <n v="4005.68"/>
  </r>
  <r>
    <s v="AMZ10123"/>
    <x v="102"/>
    <s v="2025-04-21"/>
    <s v="Riya"/>
    <x v="2"/>
    <x v="0"/>
    <s v="Accessories"/>
    <x v="1"/>
    <s v="Maharashtra"/>
    <s v="Pune"/>
    <x v="0"/>
    <n v="1"/>
    <n v="1425"/>
    <n v="5"/>
    <n v="213.6"/>
  </r>
  <r>
    <s v="AMZ10124"/>
    <x v="103"/>
    <s v="2025-05-31"/>
    <s v="Amit"/>
    <x v="8"/>
    <x v="1"/>
    <s v="Tables"/>
    <x v="2"/>
    <s v="Karnataka"/>
    <s v="Bengaluru"/>
    <x v="2"/>
    <n v="4"/>
    <n v="30600"/>
    <n v="10"/>
    <n v="4282.68"/>
  </r>
  <r>
    <s v="AMZ10125"/>
    <x v="104"/>
    <s v="2025-02-05"/>
    <s v="Riya"/>
    <x v="3"/>
    <x v="2"/>
    <s v="Stationery"/>
    <x v="2"/>
    <s v="Karnataka"/>
    <s v="Bengaluru"/>
    <x v="0"/>
    <n v="1"/>
    <n v="280"/>
    <n v="20"/>
    <n v="29.68"/>
  </r>
  <r>
    <s v="AMZ10126"/>
    <x v="79"/>
    <s v="2025-07-27"/>
    <s v="Amit"/>
    <x v="0"/>
    <x v="0"/>
    <s v="Computers"/>
    <x v="0"/>
    <s v="West Bengal"/>
    <s v="Kolkata"/>
    <x v="3"/>
    <n v="1"/>
    <n v="46750"/>
    <n v="15"/>
    <n v="8640.3700000000008"/>
  </r>
  <r>
    <s v="AMZ10127"/>
    <x v="105"/>
    <s v="2026-01-02"/>
    <s v="Amit"/>
    <x v="5"/>
    <x v="0"/>
    <s v="Accessories"/>
    <x v="2"/>
    <s v="Karnataka"/>
    <s v="Bengaluru"/>
    <x v="0"/>
    <n v="2"/>
    <n v="1530"/>
    <n v="15"/>
    <n v="130.07"/>
  </r>
  <r>
    <s v="AMZ10128"/>
    <x v="106"/>
    <s v="2025-10-23"/>
    <s v="Karan"/>
    <x v="7"/>
    <x v="3"/>
    <s v="Travel"/>
    <x v="0"/>
    <s v="West Bengal"/>
    <s v="Kolkata"/>
    <x v="0"/>
    <n v="3"/>
    <n v="4320"/>
    <n v="20"/>
    <n v="782.33"/>
  </r>
  <r>
    <s v="AMZ10129"/>
    <x v="107"/>
    <s v="2025-11-26"/>
    <s v="Mehul"/>
    <x v="3"/>
    <x v="2"/>
    <s v="Stationery"/>
    <x v="2"/>
    <s v="Tamil Nadu"/>
    <s v="Chennai"/>
    <x v="1"/>
    <n v="5"/>
    <n v="1487.5"/>
    <n v="15"/>
    <n v="233.84"/>
  </r>
  <r>
    <s v="AMZ10130"/>
    <x v="43"/>
    <s v="2025-04-22"/>
    <s v="Rahul"/>
    <x v="5"/>
    <x v="0"/>
    <s v="Accessories"/>
    <x v="0"/>
    <s v="Odisha"/>
    <s v="Bhubaneswar"/>
    <x v="1"/>
    <n v="4"/>
    <n v="3240"/>
    <n v="10"/>
    <n v="339.97"/>
  </r>
  <r>
    <s v="AMZ10131"/>
    <x v="108"/>
    <s v="2025-12-19"/>
    <s v="Riya"/>
    <x v="6"/>
    <x v="0"/>
    <s v="Accessories"/>
    <x v="1"/>
    <s v="Maharashtra"/>
    <s v="Pune"/>
    <x v="0"/>
    <n v="4"/>
    <n v="7920"/>
    <n v="10"/>
    <n v="1028.3699999999999"/>
  </r>
  <r>
    <s v="AMZ10132"/>
    <x v="109"/>
    <s v="2025-02-05"/>
    <s v="Karan"/>
    <x v="6"/>
    <x v="0"/>
    <s v="Accessories"/>
    <x v="0"/>
    <s v="Odisha"/>
    <s v="Bhubaneswar"/>
    <x v="1"/>
    <n v="5"/>
    <n v="9350"/>
    <n v="15"/>
    <n v="1517.74"/>
  </r>
  <r>
    <s v="AMZ10133"/>
    <x v="110"/>
    <s v="2025-01-31"/>
    <s v="Priya"/>
    <x v="4"/>
    <x v="0"/>
    <s v="Printers"/>
    <x v="3"/>
    <s v="Punjab"/>
    <s v="Ludhiana"/>
    <x v="2"/>
    <n v="4"/>
    <n v="43200"/>
    <n v="10"/>
    <n v="4671.3599999999997"/>
  </r>
  <r>
    <s v="AMZ10134"/>
    <x v="45"/>
    <s v="2025-04-14"/>
    <s v="Rahul"/>
    <x v="8"/>
    <x v="1"/>
    <s v="Tables"/>
    <x v="3"/>
    <s v="Delhi"/>
    <s v="New Delhi"/>
    <x v="3"/>
    <n v="3"/>
    <n v="25500"/>
    <n v="0"/>
    <n v="2660.76"/>
  </r>
  <r>
    <s v="AMZ10135"/>
    <x v="0"/>
    <s v="2025-11-10"/>
    <s v="Riya"/>
    <x v="0"/>
    <x v="0"/>
    <s v="Computers"/>
    <x v="3"/>
    <s v="Punjab"/>
    <s v="Ludhiana"/>
    <x v="0"/>
    <n v="5"/>
    <n v="275000"/>
    <n v="0"/>
    <n v="24600.45"/>
  </r>
  <r>
    <s v="AMZ10136"/>
    <x v="111"/>
    <s v="2025-04-21"/>
    <s v="Amit"/>
    <x v="9"/>
    <x v="4"/>
    <s v="Kitchen"/>
    <x v="0"/>
    <s v="Odisha"/>
    <s v="Bhubaneswar"/>
    <x v="1"/>
    <n v="3"/>
    <n v="1350"/>
    <n v="0"/>
    <n v="242.73"/>
  </r>
  <r>
    <s v="AMZ10137"/>
    <x v="112"/>
    <s v="2025-01-11"/>
    <s v="Riya"/>
    <x v="8"/>
    <x v="1"/>
    <s v="Tables"/>
    <x v="0"/>
    <s v="West Bengal"/>
    <s v="Kolkata"/>
    <x v="1"/>
    <n v="2"/>
    <n v="15300"/>
    <n v="10"/>
    <n v="1279.08"/>
  </r>
  <r>
    <s v="AMZ10138"/>
    <x v="113"/>
    <s v="2025-08-14"/>
    <s v="Rahul"/>
    <x v="4"/>
    <x v="0"/>
    <s v="Printers"/>
    <x v="1"/>
    <s v="Maharashtra"/>
    <s v="Pune"/>
    <x v="0"/>
    <n v="4"/>
    <n v="40800"/>
    <n v="15"/>
    <n v="4262.05"/>
  </r>
  <r>
    <s v="AMZ10139"/>
    <x v="114"/>
    <s v="2025-03-02"/>
    <s v="Vikas"/>
    <x v="8"/>
    <x v="1"/>
    <s v="Tables"/>
    <x v="3"/>
    <s v="Punjab"/>
    <s v="Ludhiana"/>
    <x v="3"/>
    <n v="2"/>
    <n v="14450"/>
    <n v="15"/>
    <n v="2349.5500000000002"/>
  </r>
  <r>
    <s v="AMZ10140"/>
    <x v="115"/>
    <s v="2025-06-09"/>
    <s v="Mehul"/>
    <x v="6"/>
    <x v="0"/>
    <s v="Accessories"/>
    <x v="0"/>
    <s v="Odisha"/>
    <s v="Bhubaneswar"/>
    <x v="3"/>
    <n v="1"/>
    <n v="1870"/>
    <n v="15"/>
    <n v="208.91"/>
  </r>
  <r>
    <s v="AMZ10141"/>
    <x v="76"/>
    <s v="2025-11-13"/>
    <s v="Vikas"/>
    <x v="7"/>
    <x v="3"/>
    <s v="Travel"/>
    <x v="0"/>
    <s v="Odisha"/>
    <s v="Bhubaneswar"/>
    <x v="0"/>
    <n v="5"/>
    <n v="7650"/>
    <n v="15"/>
    <n v="732.78"/>
  </r>
  <r>
    <s v="AMZ10142"/>
    <x v="116"/>
    <s v="2025-09-19"/>
    <s v="Mehul"/>
    <x v="3"/>
    <x v="2"/>
    <s v="Stationery"/>
    <x v="2"/>
    <s v="Tamil Nadu"/>
    <s v="Chennai"/>
    <x v="0"/>
    <n v="5"/>
    <n v="1487.5"/>
    <n v="15"/>
    <n v="179.91"/>
  </r>
  <r>
    <s v="AMZ10143"/>
    <x v="117"/>
    <s v="2025-04-18"/>
    <s v="Prem"/>
    <x v="2"/>
    <x v="0"/>
    <s v="Accessories"/>
    <x v="1"/>
    <s v="Maharashtra"/>
    <s v="Mumbai"/>
    <x v="1"/>
    <n v="5"/>
    <n v="6750"/>
    <n v="10"/>
    <n v="967.38"/>
  </r>
  <r>
    <s v="AMZ10144"/>
    <x v="118"/>
    <s v="2026-01-04"/>
    <s v="Amit"/>
    <x v="3"/>
    <x v="2"/>
    <s v="Stationery"/>
    <x v="3"/>
    <s v="Delhi"/>
    <s v="New Delhi"/>
    <x v="3"/>
    <n v="1"/>
    <n v="315"/>
    <n v="10"/>
    <n v="28.02"/>
  </r>
  <r>
    <s v="AMZ10145"/>
    <x v="57"/>
    <s v="2025-04-26"/>
    <s v="Sneha"/>
    <x v="1"/>
    <x v="1"/>
    <s v="Chairs"/>
    <x v="1"/>
    <s v="Maharashtra"/>
    <s v="Mumbai"/>
    <x v="0"/>
    <n v="4"/>
    <n v="22100"/>
    <n v="15"/>
    <n v="1971.94"/>
  </r>
  <r>
    <s v="AMZ10146"/>
    <x v="119"/>
    <s v="2025-10-01"/>
    <s v="Sneha"/>
    <x v="5"/>
    <x v="0"/>
    <s v="Accessories"/>
    <x v="1"/>
    <s v="Maharashtra"/>
    <s v="Mumbai"/>
    <x v="1"/>
    <n v="3"/>
    <n v="2700"/>
    <n v="0"/>
    <n v="278.58999999999997"/>
  </r>
  <r>
    <s v="AMZ10147"/>
    <x v="120"/>
    <s v="2025-03-30"/>
    <s v="Prem"/>
    <x v="7"/>
    <x v="3"/>
    <s v="Travel"/>
    <x v="3"/>
    <s v="Delhi"/>
    <s v="New Delhi"/>
    <x v="0"/>
    <n v="4"/>
    <n v="6120"/>
    <n v="15"/>
    <n v="931.42"/>
  </r>
  <r>
    <s v="AMZ10148"/>
    <x v="36"/>
    <s v="2025-09-23"/>
    <s v="Prem"/>
    <x v="2"/>
    <x v="0"/>
    <s v="Accessories"/>
    <x v="2"/>
    <s v="Tamil Nadu"/>
    <s v="Chennai"/>
    <x v="1"/>
    <n v="3"/>
    <n v="4050"/>
    <n v="10"/>
    <n v="781.94"/>
  </r>
  <r>
    <s v="AMZ10149"/>
    <x v="75"/>
    <s v="2025-05-08"/>
    <s v="Vikas"/>
    <x v="7"/>
    <x v="3"/>
    <s v="Travel"/>
    <x v="1"/>
    <s v="Gujarat"/>
    <s v="Surat"/>
    <x v="3"/>
    <n v="5"/>
    <n v="8550"/>
    <n v="5"/>
    <n v="1021.26"/>
  </r>
  <r>
    <s v="AMZ10150"/>
    <x v="121"/>
    <s v="2025-07-16"/>
    <s v="Priya"/>
    <x v="0"/>
    <x v="0"/>
    <s v="Computers"/>
    <x v="1"/>
    <s v="Maharashtra"/>
    <s v="Mumbai"/>
    <x v="3"/>
    <n v="5"/>
    <n v="247500"/>
    <n v="10"/>
    <n v="25899.61"/>
  </r>
  <r>
    <s v="AMZ10151"/>
    <x v="122"/>
    <s v="2025-12-06"/>
    <s v="Rahul"/>
    <x v="9"/>
    <x v="4"/>
    <s v="Kitchen"/>
    <x v="0"/>
    <s v="West Bengal"/>
    <s v="Kolkata"/>
    <x v="3"/>
    <n v="5"/>
    <n v="2250"/>
    <n v="0"/>
    <n v="446.34"/>
  </r>
  <r>
    <s v="AMZ10152"/>
    <x v="123"/>
    <s v="2025-11-21"/>
    <s v="Rahul"/>
    <x v="7"/>
    <x v="3"/>
    <s v="Travel"/>
    <x v="0"/>
    <s v="Odisha"/>
    <s v="Bhubaneswar"/>
    <x v="3"/>
    <n v="4"/>
    <n v="6840"/>
    <n v="5"/>
    <n v="760.9"/>
  </r>
  <r>
    <s v="AMZ10153"/>
    <x v="19"/>
    <s v="2025-03-27"/>
    <s v="Rahul"/>
    <x v="2"/>
    <x v="0"/>
    <s v="Accessories"/>
    <x v="1"/>
    <s v="Gujarat"/>
    <s v="Surat"/>
    <x v="0"/>
    <n v="2"/>
    <n v="2850"/>
    <n v="5"/>
    <n v="502.4"/>
  </r>
  <r>
    <s v="AMZ10154"/>
    <x v="124"/>
    <s v="2025-11-11"/>
    <s v="Neha"/>
    <x v="9"/>
    <x v="4"/>
    <s v="Kitchen"/>
    <x v="3"/>
    <s v="Punjab"/>
    <s v="Ludhiana"/>
    <x v="1"/>
    <n v="1"/>
    <n v="360"/>
    <n v="20"/>
    <n v="72.58"/>
  </r>
  <r>
    <s v="AMZ10155"/>
    <x v="8"/>
    <s v="2025-11-03"/>
    <s v="Mehul"/>
    <x v="5"/>
    <x v="0"/>
    <s v="Accessories"/>
    <x v="0"/>
    <s v="West Bengal"/>
    <s v="Kolkata"/>
    <x v="1"/>
    <n v="5"/>
    <n v="3825"/>
    <n v="15"/>
    <n v="719.74"/>
  </r>
  <r>
    <s v="AMZ10156"/>
    <x v="125"/>
    <s v="2025-11-23"/>
    <s v="Amit"/>
    <x v="2"/>
    <x v="0"/>
    <s v="Accessories"/>
    <x v="1"/>
    <s v="Gujarat"/>
    <s v="Surat"/>
    <x v="3"/>
    <n v="2"/>
    <n v="3000"/>
    <n v="0"/>
    <n v="335.39"/>
  </r>
  <r>
    <s v="AMZ10157"/>
    <x v="27"/>
    <s v="2025-07-10"/>
    <s v="Vikas"/>
    <x v="5"/>
    <x v="0"/>
    <s v="Accessories"/>
    <x v="1"/>
    <s v="Gujarat"/>
    <s v="Surat"/>
    <x v="1"/>
    <n v="3"/>
    <n v="2700"/>
    <n v="0"/>
    <n v="588.59"/>
  </r>
  <r>
    <s v="AMZ10158"/>
    <x v="95"/>
    <s v="2025-11-12"/>
    <s v="Vikas"/>
    <x v="3"/>
    <x v="2"/>
    <s v="Stationery"/>
    <x v="3"/>
    <s v="Delhi"/>
    <s v="New Delhi"/>
    <x v="1"/>
    <n v="2"/>
    <n v="630"/>
    <n v="10"/>
    <n v="84.17"/>
  </r>
  <r>
    <s v="AMZ10159"/>
    <x v="78"/>
    <s v="2025-09-10"/>
    <s v="Rahul"/>
    <x v="1"/>
    <x v="1"/>
    <s v="Chairs"/>
    <x v="1"/>
    <s v="Maharashtra"/>
    <s v="Mumbai"/>
    <x v="0"/>
    <n v="3"/>
    <n v="16575"/>
    <n v="15"/>
    <n v="3109.6"/>
  </r>
  <r>
    <s v="AMZ10160"/>
    <x v="104"/>
    <s v="2025-02-01"/>
    <s v="Vikas"/>
    <x v="7"/>
    <x v="3"/>
    <s v="Travel"/>
    <x v="1"/>
    <s v="Maharashtra"/>
    <s v="Pune"/>
    <x v="0"/>
    <n v="5"/>
    <n v="8550"/>
    <n v="5"/>
    <n v="705"/>
  </r>
  <r>
    <s v="AMZ10161"/>
    <x v="126"/>
    <s v="2025-09-19"/>
    <s v="Riya"/>
    <x v="8"/>
    <x v="1"/>
    <s v="Tables"/>
    <x v="2"/>
    <s v="Karnataka"/>
    <s v="Bengaluru"/>
    <x v="1"/>
    <n v="3"/>
    <n v="20400"/>
    <n v="20"/>
    <n v="3842.7"/>
  </r>
  <r>
    <s v="AMZ10162"/>
    <x v="24"/>
    <s v="2025-01-17"/>
    <s v="Sneha"/>
    <x v="1"/>
    <x v="1"/>
    <s v="Chairs"/>
    <x v="2"/>
    <s v="Karnataka"/>
    <s v="Bengaluru"/>
    <x v="0"/>
    <n v="2"/>
    <n v="11050"/>
    <n v="15"/>
    <n v="2318.5700000000002"/>
  </r>
  <r>
    <s v="AMZ10163"/>
    <x v="127"/>
    <s v="2025-09-19"/>
    <s v="Amit"/>
    <x v="9"/>
    <x v="4"/>
    <s v="Kitchen"/>
    <x v="2"/>
    <s v="Tamil Nadu"/>
    <s v="Chennai"/>
    <x v="1"/>
    <n v="3"/>
    <n v="1350"/>
    <n v="0"/>
    <n v="156.72999999999999"/>
  </r>
  <r>
    <s v="AMZ10164"/>
    <x v="128"/>
    <s v="2025-10-14"/>
    <s v="Neha"/>
    <x v="1"/>
    <x v="1"/>
    <s v="Chairs"/>
    <x v="3"/>
    <s v="Punjab"/>
    <s v="Ludhiana"/>
    <x v="3"/>
    <n v="2"/>
    <n v="13000"/>
    <n v="0"/>
    <n v="2187.38"/>
  </r>
  <r>
    <s v="AMZ10165"/>
    <x v="129"/>
    <s v="2025-08-10"/>
    <s v="Karan"/>
    <x v="8"/>
    <x v="1"/>
    <s v="Tables"/>
    <x v="2"/>
    <s v="Tamil Nadu"/>
    <s v="Chennai"/>
    <x v="1"/>
    <n v="5"/>
    <n v="36125"/>
    <n v="15"/>
    <n v="7072.86"/>
  </r>
  <r>
    <s v="AMZ10166"/>
    <x v="130"/>
    <s v="2025-01-13"/>
    <s v="Priya"/>
    <x v="4"/>
    <x v="0"/>
    <s v="Printers"/>
    <x v="3"/>
    <s v="Delhi"/>
    <s v="New Delhi"/>
    <x v="1"/>
    <n v="1"/>
    <n v="10200"/>
    <n v="15"/>
    <n v="1185.6600000000001"/>
  </r>
  <r>
    <s v="AMZ10167"/>
    <x v="130"/>
    <s v="2025-01-14"/>
    <s v="Riya"/>
    <x v="8"/>
    <x v="1"/>
    <s v="Tables"/>
    <x v="1"/>
    <s v="Maharashtra"/>
    <s v="Pune"/>
    <x v="1"/>
    <n v="5"/>
    <n v="34000"/>
    <n v="20"/>
    <n v="3204.07"/>
  </r>
  <r>
    <s v="AMZ10168"/>
    <x v="131"/>
    <s v="2025-03-25"/>
    <s v="Rahul"/>
    <x v="9"/>
    <x v="4"/>
    <s v="Kitchen"/>
    <x v="0"/>
    <s v="Odisha"/>
    <s v="Bhubaneswar"/>
    <x v="3"/>
    <n v="1"/>
    <n v="427.5"/>
    <n v="5"/>
    <n v="86.47"/>
  </r>
  <r>
    <s v="AMZ10169"/>
    <x v="14"/>
    <s v="2025-12-21"/>
    <s v="Amit"/>
    <x v="6"/>
    <x v="0"/>
    <s v="Accessories"/>
    <x v="2"/>
    <s v="Tamil Nadu"/>
    <s v="Chennai"/>
    <x v="0"/>
    <n v="5"/>
    <n v="9900"/>
    <n v="10"/>
    <n v="1709.31"/>
  </r>
  <r>
    <s v="AMZ10170"/>
    <x v="88"/>
    <s v="2025-09-11"/>
    <s v="Neha"/>
    <x v="6"/>
    <x v="0"/>
    <s v="Accessories"/>
    <x v="2"/>
    <s v="Tamil Nadu"/>
    <s v="Chennai"/>
    <x v="3"/>
    <n v="4"/>
    <n v="8800"/>
    <n v="0"/>
    <n v="1131.1199999999999"/>
  </r>
  <r>
    <s v="AMZ10171"/>
    <x v="132"/>
    <s v="2025-04-11"/>
    <s v="Sneha"/>
    <x v="8"/>
    <x v="1"/>
    <s v="Tables"/>
    <x v="1"/>
    <s v="Maharashtra"/>
    <s v="Pune"/>
    <x v="1"/>
    <n v="3"/>
    <n v="20400"/>
    <n v="20"/>
    <n v="3666.02"/>
  </r>
  <r>
    <s v="AMZ10172"/>
    <x v="133"/>
    <s v="2025-08-30"/>
    <s v="Vikas"/>
    <x v="9"/>
    <x v="4"/>
    <s v="Kitchen"/>
    <x v="0"/>
    <s v="Odisha"/>
    <s v="Bhubaneswar"/>
    <x v="0"/>
    <n v="5"/>
    <n v="2025"/>
    <n v="10"/>
    <n v="350.72"/>
  </r>
  <r>
    <s v="AMZ10173"/>
    <x v="134"/>
    <s v="2025-01-25"/>
    <s v="Mehul"/>
    <x v="0"/>
    <x v="0"/>
    <s v="Computers"/>
    <x v="0"/>
    <s v="Odisha"/>
    <s v="Bhubaneswar"/>
    <x v="2"/>
    <n v="2"/>
    <n v="99000"/>
    <n v="10"/>
    <n v="8562.9599999999991"/>
  </r>
  <r>
    <s v="AMZ10174"/>
    <x v="54"/>
    <s v="2025-10-19"/>
    <s v="Prem"/>
    <x v="0"/>
    <x v="0"/>
    <s v="Computers"/>
    <x v="3"/>
    <s v="Punjab"/>
    <s v="Ludhiana"/>
    <x v="1"/>
    <n v="2"/>
    <n v="110000"/>
    <n v="0"/>
    <n v="10604.33"/>
  </r>
  <r>
    <s v="AMZ10175"/>
    <x v="132"/>
    <s v="2025-04-10"/>
    <s v="Sneha"/>
    <x v="0"/>
    <x v="0"/>
    <s v="Computers"/>
    <x v="1"/>
    <s v="Maharashtra"/>
    <s v="Pune"/>
    <x v="1"/>
    <n v="3"/>
    <n v="156750"/>
    <n v="5"/>
    <n v="27822.95"/>
  </r>
  <r>
    <s v="AMZ10176"/>
    <x v="77"/>
    <s v="2025-11-01"/>
    <s v="Rahul"/>
    <x v="9"/>
    <x v="4"/>
    <s v="Kitchen"/>
    <x v="1"/>
    <s v="Maharashtra"/>
    <s v="Mumbai"/>
    <x v="1"/>
    <n v="1"/>
    <n v="360"/>
    <n v="20"/>
    <n v="75.709999999999994"/>
  </r>
  <r>
    <s v="AMZ10177"/>
    <x v="135"/>
    <s v="2025-08-25"/>
    <s v="Neha"/>
    <x v="2"/>
    <x v="0"/>
    <s v="Accessories"/>
    <x v="2"/>
    <s v="Tamil Nadu"/>
    <s v="Chennai"/>
    <x v="2"/>
    <n v="3"/>
    <n v="4275"/>
    <n v="5"/>
    <n v="698.48"/>
  </r>
  <r>
    <s v="AMZ10178"/>
    <x v="136"/>
    <s v="2025-05-03"/>
    <s v="Mehul"/>
    <x v="8"/>
    <x v="1"/>
    <s v="Tables"/>
    <x v="3"/>
    <s v="Punjab"/>
    <s v="Ludhiana"/>
    <x v="3"/>
    <n v="3"/>
    <n v="22950"/>
    <n v="10"/>
    <n v="3308.95"/>
  </r>
  <r>
    <s v="AMZ10179"/>
    <x v="137"/>
    <s v="2025-06-24"/>
    <s v="Neha"/>
    <x v="4"/>
    <x v="0"/>
    <s v="Printers"/>
    <x v="2"/>
    <s v="Tamil Nadu"/>
    <s v="Chennai"/>
    <x v="3"/>
    <n v="5"/>
    <n v="48000"/>
    <n v="20"/>
    <n v="9016.27"/>
  </r>
  <r>
    <s v="AMZ10180"/>
    <x v="138"/>
    <s v="2025-02-18"/>
    <s v="Riya"/>
    <x v="4"/>
    <x v="0"/>
    <s v="Printers"/>
    <x v="2"/>
    <s v="Karnataka"/>
    <s v="Bengaluru"/>
    <x v="2"/>
    <n v="4"/>
    <n v="38400"/>
    <n v="20"/>
    <n v="3927.36"/>
  </r>
  <r>
    <s v="AMZ10181"/>
    <x v="130"/>
    <s v="2025-01-13"/>
    <s v="Karan"/>
    <x v="4"/>
    <x v="0"/>
    <s v="Printers"/>
    <x v="3"/>
    <s v="Punjab"/>
    <s v="Ludhiana"/>
    <x v="2"/>
    <n v="3"/>
    <n v="36000"/>
    <n v="0"/>
    <n v="2943.03"/>
  </r>
  <r>
    <s v="AMZ10182"/>
    <x v="139"/>
    <s v="2025-07-31"/>
    <s v="Riya"/>
    <x v="0"/>
    <x v="0"/>
    <s v="Computers"/>
    <x v="3"/>
    <s v="Delhi"/>
    <s v="New Delhi"/>
    <x v="2"/>
    <n v="4"/>
    <n v="220000"/>
    <n v="0"/>
    <n v="20831.580000000002"/>
  </r>
  <r>
    <s v="AMZ10183"/>
    <x v="140"/>
    <s v="2025-12-12"/>
    <s v="Rahul"/>
    <x v="3"/>
    <x v="2"/>
    <s v="Stationery"/>
    <x v="0"/>
    <s v="West Bengal"/>
    <s v="Kolkata"/>
    <x v="3"/>
    <n v="5"/>
    <n v="1487.5"/>
    <n v="15"/>
    <n v="279.18"/>
  </r>
  <r>
    <s v="AMZ10184"/>
    <x v="131"/>
    <s v="2025-03-21"/>
    <s v="Riya"/>
    <x v="3"/>
    <x v="2"/>
    <s v="Stationery"/>
    <x v="2"/>
    <s v="Karnataka"/>
    <s v="Bengaluru"/>
    <x v="3"/>
    <n v="2"/>
    <n v="700"/>
    <n v="0"/>
    <n v="144.4"/>
  </r>
  <r>
    <s v="AMZ10185"/>
    <x v="121"/>
    <s v="2025-07-19"/>
    <s v="Neha"/>
    <x v="1"/>
    <x v="1"/>
    <s v="Chairs"/>
    <x v="3"/>
    <s v="Delhi"/>
    <s v="New Delhi"/>
    <x v="1"/>
    <n v="2"/>
    <n v="12350"/>
    <n v="5"/>
    <n v="1823.37"/>
  </r>
  <r>
    <s v="AMZ10186"/>
    <x v="133"/>
    <s v="2025-09-01"/>
    <s v="Prem"/>
    <x v="7"/>
    <x v="3"/>
    <s v="Travel"/>
    <x v="2"/>
    <s v="Tamil Nadu"/>
    <s v="Chennai"/>
    <x v="0"/>
    <n v="4"/>
    <n v="6120"/>
    <n v="15"/>
    <n v="888.02"/>
  </r>
  <r>
    <s v="AMZ10187"/>
    <x v="141"/>
    <s v="2025-08-09"/>
    <s v="Priya"/>
    <x v="7"/>
    <x v="3"/>
    <s v="Travel"/>
    <x v="2"/>
    <s v="Tamil Nadu"/>
    <s v="Chennai"/>
    <x v="2"/>
    <n v="5"/>
    <n v="7200"/>
    <n v="20"/>
    <n v="1282.97"/>
  </r>
  <r>
    <s v="AMZ10188"/>
    <x v="142"/>
    <s v="2025-07-01"/>
    <s v="Sneha"/>
    <x v="1"/>
    <x v="1"/>
    <s v="Chairs"/>
    <x v="1"/>
    <s v="Maharashtra"/>
    <s v="Mumbai"/>
    <x v="3"/>
    <n v="1"/>
    <n v="5525"/>
    <n v="15"/>
    <n v="970.48"/>
  </r>
  <r>
    <s v="AMZ10189"/>
    <x v="92"/>
    <s v="2025-04-30"/>
    <s v="Amit"/>
    <x v="5"/>
    <x v="0"/>
    <s v="Accessories"/>
    <x v="3"/>
    <s v="Punjab"/>
    <s v="Ludhiana"/>
    <x v="1"/>
    <n v="2"/>
    <n v="1710"/>
    <n v="5"/>
    <n v="215.96"/>
  </r>
  <r>
    <s v="AMZ10190"/>
    <x v="143"/>
    <s v="2025-12-26"/>
    <s v="Vikas"/>
    <x v="0"/>
    <x v="0"/>
    <s v="Computers"/>
    <x v="3"/>
    <s v="Punjab"/>
    <s v="Ludhiana"/>
    <x v="2"/>
    <n v="3"/>
    <n v="156750"/>
    <n v="5"/>
    <n v="17652.13"/>
  </r>
  <r>
    <s v="AMZ10191"/>
    <x v="144"/>
    <s v="2025-03-22"/>
    <s v="Priya"/>
    <x v="8"/>
    <x v="1"/>
    <s v="Tables"/>
    <x v="2"/>
    <s v="Karnataka"/>
    <s v="Bengaluru"/>
    <x v="3"/>
    <n v="4"/>
    <n v="30600"/>
    <n v="10"/>
    <n v="5773.15"/>
  </r>
  <r>
    <s v="AMZ10192"/>
    <x v="145"/>
    <s v="2025-08-16"/>
    <s v="Riya"/>
    <x v="4"/>
    <x v="0"/>
    <s v="Printers"/>
    <x v="3"/>
    <s v="Delhi"/>
    <s v="New Delhi"/>
    <x v="0"/>
    <n v="5"/>
    <n v="51000"/>
    <n v="15"/>
    <n v="5898.76"/>
  </r>
  <r>
    <s v="AMZ10193"/>
    <x v="50"/>
    <s v="2025-01-07"/>
    <s v="Karan"/>
    <x v="8"/>
    <x v="1"/>
    <s v="Tables"/>
    <x v="0"/>
    <s v="West Bengal"/>
    <s v="Kolkata"/>
    <x v="1"/>
    <n v="1"/>
    <n v="8075"/>
    <n v="5"/>
    <n v="1577.91"/>
  </r>
  <r>
    <s v="AMZ10194"/>
    <x v="108"/>
    <s v="2025-12-17"/>
    <s v="Sneha"/>
    <x v="3"/>
    <x v="2"/>
    <s v="Stationery"/>
    <x v="3"/>
    <s v="Punjab"/>
    <s v="Ludhiana"/>
    <x v="1"/>
    <n v="4"/>
    <n v="1400"/>
    <n v="0"/>
    <n v="286.58999999999997"/>
  </r>
  <r>
    <s v="AMZ10195"/>
    <x v="146"/>
    <s v="2025-10-29"/>
    <s v="Riya"/>
    <x v="9"/>
    <x v="4"/>
    <s v="Kitchen"/>
    <x v="1"/>
    <s v="Gujarat"/>
    <s v="Surat"/>
    <x v="1"/>
    <n v="5"/>
    <n v="1912.5"/>
    <n v="15"/>
    <n v="322.01"/>
  </r>
  <r>
    <s v="AMZ10196"/>
    <x v="147"/>
    <s v="2025-12-03"/>
    <s v="Sneha"/>
    <x v="0"/>
    <x v="0"/>
    <s v="Computers"/>
    <x v="2"/>
    <s v="Tamil Nadu"/>
    <s v="Chennai"/>
    <x v="0"/>
    <n v="3"/>
    <n v="132000"/>
    <n v="20"/>
    <n v="28768.27"/>
  </r>
  <r>
    <s v="AMZ10197"/>
    <x v="148"/>
    <s v="2025-06-16"/>
    <s v="Priya"/>
    <x v="7"/>
    <x v="3"/>
    <s v="Travel"/>
    <x v="0"/>
    <s v="Odisha"/>
    <s v="Bhubaneswar"/>
    <x v="0"/>
    <n v="5"/>
    <n v="8100"/>
    <n v="10"/>
    <n v="1431.76"/>
  </r>
  <r>
    <s v="AMZ10198"/>
    <x v="149"/>
    <s v="2025-08-16"/>
    <s v="Amit"/>
    <x v="4"/>
    <x v="0"/>
    <s v="Printers"/>
    <x v="1"/>
    <s v="Maharashtra"/>
    <s v="Mumbai"/>
    <x v="0"/>
    <n v="1"/>
    <n v="12000"/>
    <n v="0"/>
    <n v="2070.79"/>
  </r>
  <r>
    <s v="AMZ10199"/>
    <x v="150"/>
    <s v="2025-11-27"/>
    <s v="Prem"/>
    <x v="0"/>
    <x v="0"/>
    <s v="Computers"/>
    <x v="1"/>
    <s v="Maharashtra"/>
    <s v="Pune"/>
    <x v="1"/>
    <n v="3"/>
    <n v="132000"/>
    <n v="20"/>
    <n v="11202.71"/>
  </r>
  <r>
    <s v="AMZ10200"/>
    <x v="151"/>
    <s v="2025-05-30"/>
    <s v="Priya"/>
    <x v="3"/>
    <x v="2"/>
    <s v="Stationery"/>
    <x v="0"/>
    <s v="Odisha"/>
    <s v="Bhubaneswar"/>
    <x v="2"/>
    <n v="4"/>
    <n v="1330"/>
    <n v="5"/>
    <n v="231.8"/>
  </r>
  <r>
    <s v="AMZ10201"/>
    <x v="152"/>
    <s v="2025-10-01"/>
    <s v="Karan"/>
    <x v="3"/>
    <x v="2"/>
    <s v="Stationery"/>
    <x v="1"/>
    <s v="Maharashtra"/>
    <s v="Mumbai"/>
    <x v="1"/>
    <n v="4"/>
    <n v="1400"/>
    <n v="0"/>
    <n v="265.67"/>
  </r>
  <r>
    <s v="AMZ10202"/>
    <x v="60"/>
    <s v="2025-06-18"/>
    <s v="Priya"/>
    <x v="3"/>
    <x v="2"/>
    <s v="Stationery"/>
    <x v="2"/>
    <s v="Karnataka"/>
    <s v="Bengaluru"/>
    <x v="2"/>
    <n v="3"/>
    <n v="997.5"/>
    <n v="5"/>
    <n v="127.86"/>
  </r>
  <r>
    <s v="AMZ10203"/>
    <x v="38"/>
    <s v="2025-05-24"/>
    <s v="Riya"/>
    <x v="8"/>
    <x v="1"/>
    <s v="Tables"/>
    <x v="0"/>
    <s v="West Bengal"/>
    <s v="Kolkata"/>
    <x v="3"/>
    <n v="2"/>
    <n v="15300"/>
    <n v="10"/>
    <n v="3230.43"/>
  </r>
  <r>
    <s v="AMZ10204"/>
    <x v="143"/>
    <s v="2025-12-27"/>
    <s v="Amit"/>
    <x v="1"/>
    <x v="1"/>
    <s v="Chairs"/>
    <x v="3"/>
    <s v="Punjab"/>
    <s v="Ludhiana"/>
    <x v="1"/>
    <n v="2"/>
    <n v="11050"/>
    <n v="15"/>
    <n v="1550.63"/>
  </r>
  <r>
    <s v="AMZ10205"/>
    <x v="153"/>
    <s v="2025-08-14"/>
    <s v="Neha"/>
    <x v="7"/>
    <x v="3"/>
    <s v="Travel"/>
    <x v="2"/>
    <s v="Karnataka"/>
    <s v="Bengaluru"/>
    <x v="1"/>
    <n v="4"/>
    <n v="6840"/>
    <n v="5"/>
    <n v="1024.95"/>
  </r>
  <r>
    <s v="AMZ10206"/>
    <x v="154"/>
    <s v="2025-01-24"/>
    <s v="Neha"/>
    <x v="6"/>
    <x v="0"/>
    <s v="Accessories"/>
    <x v="2"/>
    <s v="Tamil Nadu"/>
    <s v="Chennai"/>
    <x v="1"/>
    <n v="1"/>
    <n v="1870"/>
    <n v="15"/>
    <n v="175.86"/>
  </r>
  <r>
    <s v="AMZ10207"/>
    <x v="155"/>
    <s v="2025-07-02"/>
    <s v="Priya"/>
    <x v="9"/>
    <x v="4"/>
    <s v="Kitchen"/>
    <x v="3"/>
    <s v="Delhi"/>
    <s v="New Delhi"/>
    <x v="1"/>
    <n v="2"/>
    <n v="810"/>
    <n v="10"/>
    <n v="68.41"/>
  </r>
  <r>
    <s v="AMZ10208"/>
    <x v="89"/>
    <s v="2025-08-26"/>
    <s v="Neha"/>
    <x v="0"/>
    <x v="0"/>
    <s v="Computers"/>
    <x v="2"/>
    <s v="Tamil Nadu"/>
    <s v="Chennai"/>
    <x v="2"/>
    <n v="2"/>
    <n v="104500"/>
    <n v="5"/>
    <n v="15548.24"/>
  </r>
  <r>
    <s v="AMZ10209"/>
    <x v="156"/>
    <s v="2025-01-06"/>
    <s v="Vikas"/>
    <x v="5"/>
    <x v="0"/>
    <s v="Accessories"/>
    <x v="3"/>
    <s v="Punjab"/>
    <s v="Ludhiana"/>
    <x v="3"/>
    <n v="4"/>
    <n v="3240"/>
    <n v="10"/>
    <n v="510.5"/>
  </r>
  <r>
    <s v="AMZ10210"/>
    <x v="101"/>
    <s v="2025-10-26"/>
    <s v="Neha"/>
    <x v="3"/>
    <x v="2"/>
    <s v="Stationery"/>
    <x v="2"/>
    <s v="Karnataka"/>
    <s v="Bengaluru"/>
    <x v="3"/>
    <n v="2"/>
    <n v="630"/>
    <n v="10"/>
    <n v="106.4"/>
  </r>
  <r>
    <s v="AMZ10211"/>
    <x v="157"/>
    <s v="2025-12-26"/>
    <s v="Prem"/>
    <x v="6"/>
    <x v="0"/>
    <s v="Accessories"/>
    <x v="2"/>
    <s v="Karnataka"/>
    <s v="Bengaluru"/>
    <x v="0"/>
    <n v="4"/>
    <n v="8360"/>
    <n v="5"/>
    <n v="1176.23"/>
  </r>
  <r>
    <s v="AMZ10212"/>
    <x v="80"/>
    <s v="2025-01-11"/>
    <s v="Priya"/>
    <x v="5"/>
    <x v="0"/>
    <s v="Accessories"/>
    <x v="0"/>
    <s v="West Bengal"/>
    <s v="Kolkata"/>
    <x v="2"/>
    <n v="5"/>
    <n v="4500"/>
    <n v="0"/>
    <n v="592.79999999999995"/>
  </r>
  <r>
    <s v="AMZ10213"/>
    <x v="92"/>
    <s v="2025-05-05"/>
    <s v="Riya"/>
    <x v="2"/>
    <x v="0"/>
    <s v="Accessories"/>
    <x v="0"/>
    <s v="West Bengal"/>
    <s v="Kolkata"/>
    <x v="1"/>
    <n v="2"/>
    <n v="2850"/>
    <n v="5"/>
    <n v="559.28"/>
  </r>
  <r>
    <s v="AMZ10214"/>
    <x v="5"/>
    <s v="2025-12-20"/>
    <s v="Neha"/>
    <x v="7"/>
    <x v="3"/>
    <s v="Travel"/>
    <x v="0"/>
    <s v="West Bengal"/>
    <s v="Kolkata"/>
    <x v="2"/>
    <n v="2"/>
    <n v="2880"/>
    <n v="20"/>
    <n v="255.59"/>
  </r>
  <r>
    <s v="AMZ10215"/>
    <x v="124"/>
    <s v="2025-11-10"/>
    <s v="Priya"/>
    <x v="3"/>
    <x v="2"/>
    <s v="Stationery"/>
    <x v="2"/>
    <s v="Tamil Nadu"/>
    <s v="Chennai"/>
    <x v="2"/>
    <n v="4"/>
    <n v="1190"/>
    <n v="15"/>
    <n v="202.18"/>
  </r>
  <r>
    <s v="AMZ10216"/>
    <x v="158"/>
    <s v="2025-08-19"/>
    <s v="Sneha"/>
    <x v="0"/>
    <x v="0"/>
    <s v="Computers"/>
    <x v="3"/>
    <s v="Punjab"/>
    <s v="Ludhiana"/>
    <x v="3"/>
    <n v="3"/>
    <n v="148500"/>
    <n v="10"/>
    <n v="14203.03"/>
  </r>
  <r>
    <s v="AMZ10217"/>
    <x v="19"/>
    <s v="2025-03-29"/>
    <s v="Priya"/>
    <x v="7"/>
    <x v="3"/>
    <s v="Travel"/>
    <x v="1"/>
    <s v="Gujarat"/>
    <s v="Surat"/>
    <x v="3"/>
    <n v="4"/>
    <n v="5760"/>
    <n v="20"/>
    <n v="806.16"/>
  </r>
  <r>
    <s v="AMZ10218"/>
    <x v="30"/>
    <s v="2025-07-08"/>
    <s v="Neha"/>
    <x v="8"/>
    <x v="1"/>
    <s v="Tables"/>
    <x v="3"/>
    <s v="Delhi"/>
    <s v="New Delhi"/>
    <x v="1"/>
    <n v="1"/>
    <n v="8500"/>
    <n v="0"/>
    <n v="1016.22"/>
  </r>
  <r>
    <s v="AMZ10219"/>
    <x v="38"/>
    <s v="2025-05-30"/>
    <s v="Prem"/>
    <x v="1"/>
    <x v="1"/>
    <s v="Chairs"/>
    <x v="2"/>
    <s v="Tamil Nadu"/>
    <s v="Chennai"/>
    <x v="2"/>
    <n v="4"/>
    <n v="23400"/>
    <n v="10"/>
    <n v="4679.01"/>
  </r>
  <r>
    <s v="AMZ10220"/>
    <x v="159"/>
    <s v="2025-07-29"/>
    <s v="Priya"/>
    <x v="7"/>
    <x v="3"/>
    <s v="Travel"/>
    <x v="1"/>
    <s v="Maharashtra"/>
    <s v="Pune"/>
    <x v="3"/>
    <n v="3"/>
    <n v="4320"/>
    <n v="20"/>
    <n v="345.74"/>
  </r>
  <r>
    <s v="AMZ10221"/>
    <x v="105"/>
    <s v="2026-01-05"/>
    <s v="Prem"/>
    <x v="0"/>
    <x v="0"/>
    <s v="Computers"/>
    <x v="0"/>
    <s v="Odisha"/>
    <s v="Bhubaneswar"/>
    <x v="3"/>
    <n v="5"/>
    <n v="233750"/>
    <n v="15"/>
    <n v="20495.11"/>
  </r>
  <r>
    <s v="AMZ10222"/>
    <x v="148"/>
    <s v="2025-06-18"/>
    <s v="Rahul"/>
    <x v="9"/>
    <x v="4"/>
    <s v="Kitchen"/>
    <x v="0"/>
    <s v="West Bengal"/>
    <s v="Kolkata"/>
    <x v="1"/>
    <n v="1"/>
    <n v="427.5"/>
    <n v="5"/>
    <n v="86.39"/>
  </r>
  <r>
    <s v="AMZ10223"/>
    <x v="160"/>
    <s v="2025-05-06"/>
    <s v="Priya"/>
    <x v="5"/>
    <x v="0"/>
    <s v="Accessories"/>
    <x v="1"/>
    <s v="Gujarat"/>
    <s v="Surat"/>
    <x v="0"/>
    <n v="5"/>
    <n v="3825"/>
    <n v="15"/>
    <n v="736.66"/>
  </r>
  <r>
    <s v="AMZ10224"/>
    <x v="45"/>
    <s v="2025-04-19"/>
    <s v="Sneha"/>
    <x v="7"/>
    <x v="3"/>
    <s v="Travel"/>
    <x v="1"/>
    <s v="Gujarat"/>
    <s v="Surat"/>
    <x v="2"/>
    <n v="1"/>
    <n v="1800"/>
    <n v="0"/>
    <n v="329.02"/>
  </r>
  <r>
    <s v="AMZ10225"/>
    <x v="2"/>
    <s v="2025-02-05"/>
    <s v="Priya"/>
    <x v="3"/>
    <x v="2"/>
    <s v="Stationery"/>
    <x v="0"/>
    <s v="Odisha"/>
    <s v="Bhubaneswar"/>
    <x v="1"/>
    <n v="3"/>
    <n v="892.5"/>
    <n v="15"/>
    <n v="89.95"/>
  </r>
  <r>
    <s v="AMZ10226"/>
    <x v="161"/>
    <s v="2025-04-15"/>
    <s v="Prem"/>
    <x v="6"/>
    <x v="0"/>
    <s v="Accessories"/>
    <x v="3"/>
    <s v="Punjab"/>
    <s v="Ludhiana"/>
    <x v="1"/>
    <n v="5"/>
    <n v="9350"/>
    <n v="15"/>
    <n v="827.81"/>
  </r>
  <r>
    <s v="AMZ10227"/>
    <x v="162"/>
    <s v="2025-01-22"/>
    <s v="Rahul"/>
    <x v="2"/>
    <x v="0"/>
    <s v="Accessories"/>
    <x v="2"/>
    <s v="Karnataka"/>
    <s v="Bengaluru"/>
    <x v="2"/>
    <n v="5"/>
    <n v="6750"/>
    <n v="10"/>
    <n v="1249.3499999999999"/>
  </r>
  <r>
    <s v="AMZ10228"/>
    <x v="1"/>
    <s v="2025-05-06"/>
    <s v="Priya"/>
    <x v="5"/>
    <x v="0"/>
    <s v="Accessories"/>
    <x v="3"/>
    <s v="Punjab"/>
    <s v="Ludhiana"/>
    <x v="1"/>
    <n v="5"/>
    <n v="4050"/>
    <n v="10"/>
    <n v="394.57"/>
  </r>
  <r>
    <s v="AMZ10229"/>
    <x v="51"/>
    <s v="2025-06-13"/>
    <s v="Mehul"/>
    <x v="9"/>
    <x v="4"/>
    <s v="Kitchen"/>
    <x v="2"/>
    <s v="Tamil Nadu"/>
    <s v="Chennai"/>
    <x v="3"/>
    <n v="5"/>
    <n v="2250"/>
    <n v="0"/>
    <n v="330.92"/>
  </r>
  <r>
    <s v="AMZ10230"/>
    <x v="163"/>
    <s v="2025-05-21"/>
    <s v="Priya"/>
    <x v="0"/>
    <x v="0"/>
    <s v="Computers"/>
    <x v="3"/>
    <s v="Punjab"/>
    <s v="Ludhiana"/>
    <x v="1"/>
    <n v="2"/>
    <n v="104500"/>
    <n v="5"/>
    <n v="14589.17"/>
  </r>
  <r>
    <s v="AMZ10231"/>
    <x v="164"/>
    <s v="2025-03-23"/>
    <s v="Neha"/>
    <x v="2"/>
    <x v="0"/>
    <s v="Accessories"/>
    <x v="2"/>
    <s v="Tamil Nadu"/>
    <s v="Chennai"/>
    <x v="0"/>
    <n v="5"/>
    <n v="6750"/>
    <n v="10"/>
    <n v="619.44000000000005"/>
  </r>
  <r>
    <s v="AMZ10232"/>
    <x v="165"/>
    <s v="2025-03-26"/>
    <s v="Riya"/>
    <x v="4"/>
    <x v="0"/>
    <s v="Printers"/>
    <x v="1"/>
    <s v="Gujarat"/>
    <s v="Surat"/>
    <x v="0"/>
    <n v="1"/>
    <n v="9600"/>
    <n v="20"/>
    <n v="1665.62"/>
  </r>
  <r>
    <s v="AMZ10233"/>
    <x v="166"/>
    <s v="2025-02-24"/>
    <s v="Karan"/>
    <x v="8"/>
    <x v="1"/>
    <s v="Tables"/>
    <x v="2"/>
    <s v="Tamil Nadu"/>
    <s v="Chennai"/>
    <x v="2"/>
    <n v="3"/>
    <n v="22950"/>
    <n v="10"/>
    <n v="3636.05"/>
  </r>
  <r>
    <s v="AMZ10234"/>
    <x v="66"/>
    <s v="2025-03-10"/>
    <s v="Neha"/>
    <x v="2"/>
    <x v="0"/>
    <s v="Accessories"/>
    <x v="3"/>
    <s v="Punjab"/>
    <s v="Ludhiana"/>
    <x v="3"/>
    <n v="1"/>
    <n v="1275"/>
    <n v="15"/>
    <n v="181.11"/>
  </r>
  <r>
    <s v="AMZ10235"/>
    <x v="43"/>
    <s v="2025-04-21"/>
    <s v="Amit"/>
    <x v="1"/>
    <x v="1"/>
    <s v="Chairs"/>
    <x v="1"/>
    <s v="Maharashtra"/>
    <s v="Pune"/>
    <x v="0"/>
    <n v="5"/>
    <n v="27625"/>
    <n v="15"/>
    <n v="5790.22"/>
  </r>
  <r>
    <s v="AMZ10236"/>
    <x v="44"/>
    <s v="2025-07-19"/>
    <s v="Riya"/>
    <x v="6"/>
    <x v="0"/>
    <s v="Accessories"/>
    <x v="0"/>
    <s v="Odisha"/>
    <s v="Bhubaneswar"/>
    <x v="0"/>
    <n v="5"/>
    <n v="9350"/>
    <n v="15"/>
    <n v="2026.62"/>
  </r>
  <r>
    <s v="AMZ10237"/>
    <x v="167"/>
    <s v="2025-07-21"/>
    <s v="Amit"/>
    <x v="8"/>
    <x v="1"/>
    <s v="Tables"/>
    <x v="2"/>
    <s v="Karnataka"/>
    <s v="Bengaluru"/>
    <x v="2"/>
    <n v="5"/>
    <n v="34000"/>
    <n v="20"/>
    <n v="4466.49"/>
  </r>
  <r>
    <s v="AMZ10238"/>
    <x v="47"/>
    <s v="2025-07-17"/>
    <s v="Vikas"/>
    <x v="6"/>
    <x v="0"/>
    <s v="Accessories"/>
    <x v="3"/>
    <s v="Punjab"/>
    <s v="Ludhiana"/>
    <x v="1"/>
    <n v="5"/>
    <n v="11000"/>
    <n v="0"/>
    <n v="1525.42"/>
  </r>
  <r>
    <s v="AMZ10239"/>
    <x v="168"/>
    <s v="2025-12-21"/>
    <s v="Riya"/>
    <x v="3"/>
    <x v="2"/>
    <s v="Stationery"/>
    <x v="1"/>
    <s v="Maharashtra"/>
    <s v="Mumbai"/>
    <x v="2"/>
    <n v="2"/>
    <n v="665"/>
    <n v="5"/>
    <n v="107.54"/>
  </r>
  <r>
    <s v="AMZ10240"/>
    <x v="169"/>
    <s v="2025-11-27"/>
    <s v="Neha"/>
    <x v="0"/>
    <x v="0"/>
    <s v="Computers"/>
    <x v="3"/>
    <s v="Punjab"/>
    <s v="Ludhiana"/>
    <x v="0"/>
    <n v="5"/>
    <n v="220000"/>
    <n v="20"/>
    <n v="46906.14"/>
  </r>
  <r>
    <s v="AMZ10241"/>
    <x v="170"/>
    <s v="2025-04-08"/>
    <s v="Prem"/>
    <x v="8"/>
    <x v="1"/>
    <s v="Tables"/>
    <x v="2"/>
    <s v="Tamil Nadu"/>
    <s v="Chennai"/>
    <x v="1"/>
    <n v="1"/>
    <n v="8500"/>
    <n v="0"/>
    <n v="1866.78"/>
  </r>
  <r>
    <s v="AMZ10242"/>
    <x v="171"/>
    <s v="2025-12-23"/>
    <s v="Prem"/>
    <x v="4"/>
    <x v="0"/>
    <s v="Printers"/>
    <x v="2"/>
    <s v="Tamil Nadu"/>
    <s v="Chennai"/>
    <x v="0"/>
    <n v="3"/>
    <n v="30600"/>
    <n v="15"/>
    <n v="2618.56"/>
  </r>
  <r>
    <s v="AMZ10243"/>
    <x v="172"/>
    <s v="2025-02-21"/>
    <s v="Mehul"/>
    <x v="4"/>
    <x v="0"/>
    <s v="Printers"/>
    <x v="1"/>
    <s v="Maharashtra"/>
    <s v="Mumbai"/>
    <x v="0"/>
    <n v="2"/>
    <n v="21600"/>
    <n v="10"/>
    <n v="4048.11"/>
  </r>
  <r>
    <s v="AMZ10244"/>
    <x v="173"/>
    <s v="2025-04-29"/>
    <s v="Vikas"/>
    <x v="0"/>
    <x v="0"/>
    <s v="Computers"/>
    <x v="0"/>
    <s v="Odisha"/>
    <s v="Bhubaneswar"/>
    <x v="3"/>
    <n v="5"/>
    <n v="247500"/>
    <n v="10"/>
    <n v="34742.379999999997"/>
  </r>
  <r>
    <s v="AMZ10245"/>
    <x v="174"/>
    <s v="2025-03-19"/>
    <s v="Rahul"/>
    <x v="6"/>
    <x v="0"/>
    <s v="Accessories"/>
    <x v="3"/>
    <s v="Delhi"/>
    <s v="New Delhi"/>
    <x v="0"/>
    <n v="5"/>
    <n v="9900"/>
    <n v="10"/>
    <n v="921.64"/>
  </r>
  <r>
    <s v="AMZ10246"/>
    <x v="175"/>
    <s v="2025-07-24"/>
    <s v="Riya"/>
    <x v="8"/>
    <x v="1"/>
    <s v="Tables"/>
    <x v="1"/>
    <s v="Maharashtra"/>
    <s v="Pune"/>
    <x v="0"/>
    <n v="2"/>
    <n v="14450"/>
    <n v="15"/>
    <n v="2893.61"/>
  </r>
  <r>
    <s v="AMZ10247"/>
    <x v="12"/>
    <s v="2025-12-11"/>
    <s v="Karan"/>
    <x v="1"/>
    <x v="1"/>
    <s v="Chairs"/>
    <x v="3"/>
    <s v="Punjab"/>
    <s v="Ludhiana"/>
    <x v="0"/>
    <n v="5"/>
    <n v="26000"/>
    <n v="20"/>
    <n v="4534.4799999999996"/>
  </r>
  <r>
    <s v="AMZ10248"/>
    <x v="176"/>
    <s v="2025-01-21"/>
    <s v="Prem"/>
    <x v="2"/>
    <x v="0"/>
    <s v="Accessories"/>
    <x v="3"/>
    <s v="Punjab"/>
    <s v="Ludhiana"/>
    <x v="3"/>
    <n v="4"/>
    <n v="5700"/>
    <n v="5"/>
    <n v="486.88"/>
  </r>
  <r>
    <s v="AMZ10249"/>
    <x v="177"/>
    <s v="2025-06-14"/>
    <s v="Rahul"/>
    <x v="3"/>
    <x v="2"/>
    <s v="Stationery"/>
    <x v="1"/>
    <s v="Maharashtra"/>
    <s v="Pune"/>
    <x v="2"/>
    <n v="4"/>
    <n v="1330"/>
    <n v="5"/>
    <n v="260.94"/>
  </r>
  <r>
    <s v="AMZ10250"/>
    <x v="178"/>
    <s v="2025-02-05"/>
    <s v="Amit"/>
    <x v="4"/>
    <x v="0"/>
    <s v="Printers"/>
    <x v="2"/>
    <s v="Karnataka"/>
    <s v="Bengaluru"/>
    <x v="1"/>
    <n v="5"/>
    <n v="57000"/>
    <n v="5"/>
    <n v="5835.65"/>
  </r>
  <r>
    <s v="AMZ10251"/>
    <x v="166"/>
    <s v="2025-02-20"/>
    <s v="Prem"/>
    <x v="3"/>
    <x v="2"/>
    <s v="Stationery"/>
    <x v="1"/>
    <s v="Maharashtra"/>
    <s v="Mumbai"/>
    <x v="1"/>
    <n v="1"/>
    <n v="332.5"/>
    <n v="5"/>
    <n v="64.13"/>
  </r>
  <r>
    <s v="AMZ10252"/>
    <x v="130"/>
    <s v="2025-01-15"/>
    <s v="Mehul"/>
    <x v="8"/>
    <x v="1"/>
    <s v="Tables"/>
    <x v="0"/>
    <s v="Odisha"/>
    <s v="Bhubaneswar"/>
    <x v="1"/>
    <n v="5"/>
    <n v="36125"/>
    <n v="15"/>
    <n v="3912.08"/>
  </r>
  <r>
    <s v="AMZ10253"/>
    <x v="179"/>
    <s v="2025-03-07"/>
    <s v="Neha"/>
    <x v="9"/>
    <x v="4"/>
    <s v="Kitchen"/>
    <x v="1"/>
    <s v="Maharashtra"/>
    <s v="Mumbai"/>
    <x v="3"/>
    <n v="5"/>
    <n v="2250"/>
    <n v="0"/>
    <n v="307.89999999999998"/>
  </r>
  <r>
    <s v="AMZ10254"/>
    <x v="4"/>
    <s v="2025-09-16"/>
    <s v="Prem"/>
    <x v="1"/>
    <x v="1"/>
    <s v="Chairs"/>
    <x v="1"/>
    <s v="Maharashtra"/>
    <s v="Mumbai"/>
    <x v="1"/>
    <n v="4"/>
    <n v="20800"/>
    <n v="20"/>
    <n v="2065.38"/>
  </r>
  <r>
    <s v="AMZ10255"/>
    <x v="47"/>
    <s v="2025-07-12"/>
    <s v="Rahul"/>
    <x v="8"/>
    <x v="1"/>
    <s v="Tables"/>
    <x v="0"/>
    <s v="West Bengal"/>
    <s v="Kolkata"/>
    <x v="1"/>
    <n v="4"/>
    <n v="34000"/>
    <n v="0"/>
    <n v="3534.13"/>
  </r>
  <r>
    <s v="AMZ10256"/>
    <x v="180"/>
    <s v="2025-01-23"/>
    <s v="Amit"/>
    <x v="2"/>
    <x v="0"/>
    <s v="Accessories"/>
    <x v="1"/>
    <s v="Maharashtra"/>
    <s v="Mumbai"/>
    <x v="1"/>
    <n v="2"/>
    <n v="2850"/>
    <n v="5"/>
    <n v="469.27"/>
  </r>
  <r>
    <s v="AMZ10257"/>
    <x v="181"/>
    <s v="2025-08-29"/>
    <s v="Rahul"/>
    <x v="7"/>
    <x v="3"/>
    <s v="Travel"/>
    <x v="1"/>
    <s v="Maharashtra"/>
    <s v="Pune"/>
    <x v="2"/>
    <n v="3"/>
    <n v="4590"/>
    <n v="15"/>
    <n v="564.16999999999996"/>
  </r>
  <r>
    <s v="AMZ10258"/>
    <x v="82"/>
    <s v="2025-07-12"/>
    <s v="Rahul"/>
    <x v="4"/>
    <x v="0"/>
    <s v="Printers"/>
    <x v="1"/>
    <s v="Maharashtra"/>
    <s v="Pune"/>
    <x v="3"/>
    <n v="5"/>
    <n v="57000"/>
    <n v="5"/>
    <n v="5273.84"/>
  </r>
  <r>
    <s v="AMZ10259"/>
    <x v="182"/>
    <s v="2025-06-17"/>
    <s v="Rahul"/>
    <x v="7"/>
    <x v="3"/>
    <s v="Travel"/>
    <x v="0"/>
    <s v="West Bengal"/>
    <s v="Kolkata"/>
    <x v="3"/>
    <n v="2"/>
    <n v="3240"/>
    <n v="10"/>
    <n v="285.48"/>
  </r>
  <r>
    <s v="AMZ10260"/>
    <x v="40"/>
    <s v="2025-05-21"/>
    <s v="Amit"/>
    <x v="0"/>
    <x v="0"/>
    <s v="Computers"/>
    <x v="3"/>
    <s v="Punjab"/>
    <s v="Ludhiana"/>
    <x v="1"/>
    <n v="5"/>
    <n v="233750"/>
    <n v="15"/>
    <n v="32323.46"/>
  </r>
  <r>
    <s v="AMZ10261"/>
    <x v="183"/>
    <s v="2025-04-15"/>
    <s v="Mehul"/>
    <x v="0"/>
    <x v="0"/>
    <s v="Computers"/>
    <x v="2"/>
    <s v="Tamil Nadu"/>
    <s v="Chennai"/>
    <x v="2"/>
    <n v="2"/>
    <n v="93500"/>
    <n v="15"/>
    <n v="16725.86"/>
  </r>
  <r>
    <s v="AMZ10262"/>
    <x v="68"/>
    <s v="2025-03-30"/>
    <s v="Neha"/>
    <x v="7"/>
    <x v="3"/>
    <s v="Travel"/>
    <x v="0"/>
    <s v="West Bengal"/>
    <s v="Kolkata"/>
    <x v="3"/>
    <n v="1"/>
    <n v="1620"/>
    <n v="10"/>
    <n v="224.67"/>
  </r>
  <r>
    <s v="AMZ10263"/>
    <x v="44"/>
    <s v="2025-07-16"/>
    <s v="Amit"/>
    <x v="6"/>
    <x v="0"/>
    <s v="Accessories"/>
    <x v="1"/>
    <s v="Maharashtra"/>
    <s v="Mumbai"/>
    <x v="1"/>
    <n v="2"/>
    <n v="4180"/>
    <n v="5"/>
    <n v="740.45"/>
  </r>
  <r>
    <s v="AMZ10264"/>
    <x v="118"/>
    <s v="2026-01-04"/>
    <s v="Priya"/>
    <x v="6"/>
    <x v="0"/>
    <s v="Accessories"/>
    <x v="0"/>
    <s v="Odisha"/>
    <s v="Bhubaneswar"/>
    <x v="1"/>
    <n v="1"/>
    <n v="2200"/>
    <n v="0"/>
    <n v="213.24"/>
  </r>
  <r>
    <s v="AMZ10265"/>
    <x v="184"/>
    <s v="2025-09-24"/>
    <s v="Priya"/>
    <x v="3"/>
    <x v="2"/>
    <s v="Stationery"/>
    <x v="0"/>
    <s v="Odisha"/>
    <s v="Bhubaneswar"/>
    <x v="0"/>
    <n v="1"/>
    <n v="280"/>
    <n v="20"/>
    <n v="59.98"/>
  </r>
  <r>
    <s v="AMZ10266"/>
    <x v="185"/>
    <s v="2025-01-09"/>
    <s v="Rahul"/>
    <x v="3"/>
    <x v="2"/>
    <s v="Stationery"/>
    <x v="2"/>
    <s v="Karnataka"/>
    <s v="Bengaluru"/>
    <x v="0"/>
    <n v="5"/>
    <n v="1662.5"/>
    <n v="5"/>
    <n v="193.3"/>
  </r>
  <r>
    <s v="AMZ10267"/>
    <x v="163"/>
    <s v="2025-05-21"/>
    <s v="Priya"/>
    <x v="5"/>
    <x v="0"/>
    <s v="Accessories"/>
    <x v="3"/>
    <s v="Punjab"/>
    <s v="Ludhiana"/>
    <x v="3"/>
    <n v="2"/>
    <n v="1800"/>
    <n v="0"/>
    <n v="288.5"/>
  </r>
  <r>
    <s v="AMZ10268"/>
    <x v="186"/>
    <s v="2025-02-13"/>
    <s v="Mehul"/>
    <x v="9"/>
    <x v="4"/>
    <s v="Kitchen"/>
    <x v="0"/>
    <s v="West Bengal"/>
    <s v="Kolkata"/>
    <x v="0"/>
    <n v="3"/>
    <n v="1080"/>
    <n v="20"/>
    <n v="93.59"/>
  </r>
  <r>
    <s v="AMZ10269"/>
    <x v="105"/>
    <s v="2026-01-03"/>
    <s v="Prem"/>
    <x v="8"/>
    <x v="1"/>
    <s v="Tables"/>
    <x v="2"/>
    <s v="Karnataka"/>
    <s v="Bengaluru"/>
    <x v="1"/>
    <n v="5"/>
    <n v="38250"/>
    <n v="10"/>
    <n v="4731.6000000000004"/>
  </r>
  <r>
    <s v="AMZ10270"/>
    <x v="144"/>
    <s v="2025-03-16"/>
    <s v="Amit"/>
    <x v="1"/>
    <x v="1"/>
    <s v="Chairs"/>
    <x v="1"/>
    <s v="Maharashtra"/>
    <s v="Pune"/>
    <x v="2"/>
    <n v="1"/>
    <n v="6500"/>
    <n v="0"/>
    <n v="1230.58"/>
  </r>
  <r>
    <s v="AMZ10271"/>
    <x v="31"/>
    <s v="2025-04-26"/>
    <s v="Karan"/>
    <x v="4"/>
    <x v="0"/>
    <s v="Printers"/>
    <x v="0"/>
    <s v="Odisha"/>
    <s v="Bhubaneswar"/>
    <x v="2"/>
    <n v="1"/>
    <n v="10800"/>
    <n v="10"/>
    <n v="1378.86"/>
  </r>
  <r>
    <s v="AMZ10272"/>
    <x v="77"/>
    <s v="2025-10-27"/>
    <s v="Neha"/>
    <x v="4"/>
    <x v="0"/>
    <s v="Printers"/>
    <x v="0"/>
    <s v="West Bengal"/>
    <s v="Kolkata"/>
    <x v="3"/>
    <n v="3"/>
    <n v="32400"/>
    <n v="10"/>
    <n v="3780.32"/>
  </r>
  <r>
    <s v="AMZ10273"/>
    <x v="187"/>
    <s v="2025-08-03"/>
    <s v="Amit"/>
    <x v="2"/>
    <x v="0"/>
    <s v="Accessories"/>
    <x v="1"/>
    <s v="Maharashtra"/>
    <s v="Mumbai"/>
    <x v="0"/>
    <n v="5"/>
    <n v="6375"/>
    <n v="15"/>
    <n v="674.09"/>
  </r>
  <r>
    <s v="AMZ10274"/>
    <x v="188"/>
    <s v="2025-11-21"/>
    <s v="Riya"/>
    <x v="8"/>
    <x v="1"/>
    <s v="Tables"/>
    <x v="1"/>
    <s v="Gujarat"/>
    <s v="Surat"/>
    <x v="2"/>
    <n v="4"/>
    <n v="28900"/>
    <n v="15"/>
    <n v="6150.83"/>
  </r>
  <r>
    <s v="AMZ10275"/>
    <x v="189"/>
    <s v="2025-11-22"/>
    <s v="Karan"/>
    <x v="9"/>
    <x v="4"/>
    <s v="Kitchen"/>
    <x v="2"/>
    <s v="Tamil Nadu"/>
    <s v="Chennai"/>
    <x v="1"/>
    <n v="3"/>
    <n v="1080"/>
    <n v="20"/>
    <n v="134.62"/>
  </r>
  <r>
    <s v="AMZ10276"/>
    <x v="175"/>
    <s v="2025-07-26"/>
    <s v="Priya"/>
    <x v="8"/>
    <x v="1"/>
    <s v="Tables"/>
    <x v="1"/>
    <s v="Gujarat"/>
    <s v="Surat"/>
    <x v="3"/>
    <n v="5"/>
    <n v="40375"/>
    <n v="5"/>
    <n v="4356.1099999999997"/>
  </r>
  <r>
    <s v="AMZ10277"/>
    <x v="22"/>
    <s v="2025-06-08"/>
    <s v="Priya"/>
    <x v="6"/>
    <x v="0"/>
    <s v="Accessories"/>
    <x v="3"/>
    <s v="Punjab"/>
    <s v="Ludhiana"/>
    <x v="0"/>
    <n v="5"/>
    <n v="11000"/>
    <n v="0"/>
    <n v="2266.66"/>
  </r>
  <r>
    <s v="AMZ10278"/>
    <x v="190"/>
    <s v="2025-01-12"/>
    <s v="Karan"/>
    <x v="4"/>
    <x v="0"/>
    <s v="Printers"/>
    <x v="3"/>
    <s v="Delhi"/>
    <s v="New Delhi"/>
    <x v="2"/>
    <n v="2"/>
    <n v="24000"/>
    <n v="0"/>
    <n v="4923.8100000000004"/>
  </r>
  <r>
    <s v="AMZ10279"/>
    <x v="191"/>
    <s v="2025-12-14"/>
    <s v="Karan"/>
    <x v="6"/>
    <x v="0"/>
    <s v="Accessories"/>
    <x v="3"/>
    <s v="Punjab"/>
    <s v="Ludhiana"/>
    <x v="0"/>
    <n v="1"/>
    <n v="2200"/>
    <n v="0"/>
    <n v="400.28"/>
  </r>
  <r>
    <s v="AMZ10280"/>
    <x v="192"/>
    <s v="2025-07-15"/>
    <s v="Rahul"/>
    <x v="2"/>
    <x v="0"/>
    <s v="Accessories"/>
    <x v="3"/>
    <s v="Punjab"/>
    <s v="Ludhiana"/>
    <x v="1"/>
    <n v="5"/>
    <n v="7500"/>
    <n v="0"/>
    <n v="858.7"/>
  </r>
  <r>
    <s v="AMZ10281"/>
    <x v="193"/>
    <s v="2025-10-23"/>
    <s v="Neha"/>
    <x v="0"/>
    <x v="0"/>
    <s v="Computers"/>
    <x v="2"/>
    <s v="Tamil Nadu"/>
    <s v="Chennai"/>
    <x v="3"/>
    <n v="5"/>
    <n v="233750"/>
    <n v="15"/>
    <n v="41063.65"/>
  </r>
  <r>
    <s v="AMZ10282"/>
    <x v="131"/>
    <s v="2025-03-24"/>
    <s v="Sneha"/>
    <x v="4"/>
    <x v="0"/>
    <s v="Printers"/>
    <x v="1"/>
    <s v="Maharashtra"/>
    <s v="Pune"/>
    <x v="1"/>
    <n v="5"/>
    <n v="57000"/>
    <n v="5"/>
    <n v="9875.93"/>
  </r>
  <r>
    <s v="AMZ10283"/>
    <x v="178"/>
    <s v="2025-02-06"/>
    <s v="Vikas"/>
    <x v="9"/>
    <x v="4"/>
    <s v="Kitchen"/>
    <x v="0"/>
    <s v="Odisha"/>
    <s v="Bhubaneswar"/>
    <x v="3"/>
    <n v="1"/>
    <n v="382.5"/>
    <n v="15"/>
    <n v="42.47"/>
  </r>
  <r>
    <s v="AMZ10284"/>
    <x v="193"/>
    <s v="2025-10-23"/>
    <s v="Mehul"/>
    <x v="0"/>
    <x v="0"/>
    <s v="Computers"/>
    <x v="2"/>
    <s v="Karnataka"/>
    <s v="Bengaluru"/>
    <x v="3"/>
    <n v="4"/>
    <n v="198000"/>
    <n v="10"/>
    <n v="32416.16"/>
  </r>
  <r>
    <s v="AMZ10285"/>
    <x v="178"/>
    <s v="2025-02-06"/>
    <s v="Riya"/>
    <x v="3"/>
    <x v="2"/>
    <s v="Stationery"/>
    <x v="0"/>
    <s v="Odisha"/>
    <s v="Bhubaneswar"/>
    <x v="0"/>
    <n v="5"/>
    <n v="1662.5"/>
    <n v="5"/>
    <n v="335.91"/>
  </r>
  <r>
    <s v="AMZ10286"/>
    <x v="194"/>
    <s v="2025-10-29"/>
    <s v="Prem"/>
    <x v="8"/>
    <x v="1"/>
    <s v="Tables"/>
    <x v="0"/>
    <s v="West Bengal"/>
    <s v="Kolkata"/>
    <x v="1"/>
    <n v="5"/>
    <n v="42500"/>
    <n v="0"/>
    <n v="4346.1000000000004"/>
  </r>
  <r>
    <s v="AMZ10287"/>
    <x v="195"/>
    <s v="2025-03-23"/>
    <s v="Neha"/>
    <x v="0"/>
    <x v="0"/>
    <s v="Computers"/>
    <x v="2"/>
    <s v="Tamil Nadu"/>
    <s v="Chennai"/>
    <x v="0"/>
    <n v="4"/>
    <n v="187000"/>
    <n v="15"/>
    <n v="20766.41"/>
  </r>
  <r>
    <s v="AMZ10288"/>
    <x v="196"/>
    <s v="2025-07-11"/>
    <s v="Prem"/>
    <x v="6"/>
    <x v="0"/>
    <s v="Accessories"/>
    <x v="1"/>
    <s v="Gujarat"/>
    <s v="Surat"/>
    <x v="1"/>
    <n v="2"/>
    <n v="3740"/>
    <n v="15"/>
    <n v="731.21"/>
  </r>
  <r>
    <s v="AMZ10289"/>
    <x v="33"/>
    <s v="2025-11-30"/>
    <s v="Sneha"/>
    <x v="2"/>
    <x v="0"/>
    <s v="Accessories"/>
    <x v="0"/>
    <s v="Odisha"/>
    <s v="Bhubaneswar"/>
    <x v="0"/>
    <n v="3"/>
    <n v="3825"/>
    <n v="15"/>
    <n v="772.03"/>
  </r>
  <r>
    <s v="AMZ10290"/>
    <x v="197"/>
    <s v="2025-05-29"/>
    <s v="Rahul"/>
    <x v="9"/>
    <x v="4"/>
    <s v="Kitchen"/>
    <x v="3"/>
    <s v="Punjab"/>
    <s v="Ludhiana"/>
    <x v="2"/>
    <n v="2"/>
    <n v="765"/>
    <n v="15"/>
    <n v="163.47"/>
  </r>
  <r>
    <s v="AMZ10291"/>
    <x v="198"/>
    <s v="2025-11-04"/>
    <s v="Neha"/>
    <x v="1"/>
    <x v="1"/>
    <s v="Chairs"/>
    <x v="2"/>
    <s v="Tamil Nadu"/>
    <s v="Chennai"/>
    <x v="1"/>
    <n v="2"/>
    <n v="13000"/>
    <n v="0"/>
    <n v="2451.2800000000002"/>
  </r>
  <r>
    <s v="AMZ10292"/>
    <x v="199"/>
    <s v="2025-02-26"/>
    <s v="Neha"/>
    <x v="7"/>
    <x v="3"/>
    <s v="Travel"/>
    <x v="1"/>
    <s v="Gujarat"/>
    <s v="Surat"/>
    <x v="2"/>
    <n v="1"/>
    <n v="1440"/>
    <n v="20"/>
    <n v="128.41"/>
  </r>
  <r>
    <s v="AMZ10293"/>
    <x v="200"/>
    <s v="2025-01-22"/>
    <s v="Neha"/>
    <x v="4"/>
    <x v="0"/>
    <s v="Printers"/>
    <x v="0"/>
    <s v="Odisha"/>
    <s v="Bhubaneswar"/>
    <x v="1"/>
    <n v="5"/>
    <n v="51000"/>
    <n v="15"/>
    <n v="8913.77"/>
  </r>
  <r>
    <s v="AMZ10294"/>
    <x v="185"/>
    <s v="2025-01-11"/>
    <s v="Sneha"/>
    <x v="3"/>
    <x v="2"/>
    <s v="Stationery"/>
    <x v="2"/>
    <s v="Tamil Nadu"/>
    <s v="Chennai"/>
    <x v="0"/>
    <n v="4"/>
    <n v="1260"/>
    <n v="10"/>
    <n v="216.26"/>
  </r>
  <r>
    <s v="AMZ10295"/>
    <x v="201"/>
    <s v="2025-06-30"/>
    <s v="Vikas"/>
    <x v="8"/>
    <x v="1"/>
    <s v="Tables"/>
    <x v="2"/>
    <s v="Tamil Nadu"/>
    <s v="Chennai"/>
    <x v="0"/>
    <n v="1"/>
    <n v="7650"/>
    <n v="10"/>
    <n v="775.79"/>
  </r>
  <r>
    <s v="AMZ10296"/>
    <x v="81"/>
    <s v="2025-09-07"/>
    <s v="Vikas"/>
    <x v="2"/>
    <x v="0"/>
    <s v="Accessories"/>
    <x v="2"/>
    <s v="Tamil Nadu"/>
    <s v="Chennai"/>
    <x v="1"/>
    <n v="1"/>
    <n v="1500"/>
    <n v="0"/>
    <n v="285.73"/>
  </r>
  <r>
    <s v="AMZ10297"/>
    <x v="202"/>
    <s v="2025-05-15"/>
    <s v="Priya"/>
    <x v="1"/>
    <x v="1"/>
    <s v="Chairs"/>
    <x v="1"/>
    <s v="Maharashtra"/>
    <s v="Mumbai"/>
    <x v="2"/>
    <n v="1"/>
    <n v="6175"/>
    <n v="5"/>
    <n v="1169.47"/>
  </r>
  <r>
    <s v="AMZ10298"/>
    <x v="203"/>
    <s v="2025-02-01"/>
    <s v="Vikas"/>
    <x v="2"/>
    <x v="0"/>
    <s v="Accessories"/>
    <x v="1"/>
    <s v="Maharashtra"/>
    <s v="Mumbai"/>
    <x v="3"/>
    <n v="1"/>
    <n v="1500"/>
    <n v="0"/>
    <n v="178.29"/>
  </r>
  <r>
    <s v="AMZ10299"/>
    <x v="149"/>
    <s v="2025-08-11"/>
    <s v="Priya"/>
    <x v="9"/>
    <x v="4"/>
    <s v="Kitchen"/>
    <x v="3"/>
    <s v="Punjab"/>
    <s v="Ludhiana"/>
    <x v="1"/>
    <n v="2"/>
    <n v="855"/>
    <n v="5"/>
    <n v="76.2"/>
  </r>
  <r>
    <s v="AMZ10300"/>
    <x v="62"/>
    <s v="2025-04-03"/>
    <s v="Prem"/>
    <x v="7"/>
    <x v="3"/>
    <s v="Travel"/>
    <x v="1"/>
    <s v="Gujarat"/>
    <s v="Surat"/>
    <x v="2"/>
    <n v="2"/>
    <n v="3420"/>
    <n v="5"/>
    <n v="470.62"/>
  </r>
  <r>
    <s v="AMZ10301"/>
    <x v="79"/>
    <s v="2025-07-27"/>
    <s v="Sneha"/>
    <x v="5"/>
    <x v="0"/>
    <s v="Accessories"/>
    <x v="2"/>
    <s v="Tamil Nadu"/>
    <s v="Chennai"/>
    <x v="3"/>
    <n v="4"/>
    <n v="3060"/>
    <n v="15"/>
    <n v="661.18"/>
  </r>
  <r>
    <s v="AMZ10302"/>
    <x v="204"/>
    <s v="2025-02-22"/>
    <s v="Priya"/>
    <x v="0"/>
    <x v="0"/>
    <s v="Computers"/>
    <x v="0"/>
    <s v="Odisha"/>
    <s v="Bhubaneswar"/>
    <x v="1"/>
    <n v="5"/>
    <n v="233750"/>
    <n v="15"/>
    <n v="51391.31"/>
  </r>
  <r>
    <s v="AMZ10303"/>
    <x v="113"/>
    <s v="2025-08-12"/>
    <s v="Vikas"/>
    <x v="9"/>
    <x v="4"/>
    <s v="Kitchen"/>
    <x v="3"/>
    <s v="Delhi"/>
    <s v="New Delhi"/>
    <x v="1"/>
    <n v="4"/>
    <n v="1620"/>
    <n v="10"/>
    <n v="220.75"/>
  </r>
  <r>
    <s v="AMZ10304"/>
    <x v="205"/>
    <s v="2025-08-02"/>
    <s v="Karan"/>
    <x v="6"/>
    <x v="0"/>
    <s v="Accessories"/>
    <x v="0"/>
    <s v="West Bengal"/>
    <s v="Kolkata"/>
    <x v="2"/>
    <n v="4"/>
    <n v="7920"/>
    <n v="10"/>
    <n v="772.59"/>
  </r>
  <r>
    <s v="AMZ10305"/>
    <x v="49"/>
    <s v="2025-02-20"/>
    <s v="Riya"/>
    <x v="0"/>
    <x v="0"/>
    <s v="Computers"/>
    <x v="1"/>
    <s v="Maharashtra"/>
    <s v="Mumbai"/>
    <x v="1"/>
    <n v="1"/>
    <n v="44000"/>
    <n v="20"/>
    <n v="5857.86"/>
  </r>
  <r>
    <s v="AMZ10306"/>
    <x v="179"/>
    <s v="2025-03-12"/>
    <s v="Vikas"/>
    <x v="0"/>
    <x v="0"/>
    <s v="Computers"/>
    <x v="1"/>
    <s v="Maharashtra"/>
    <s v="Mumbai"/>
    <x v="1"/>
    <n v="5"/>
    <n v="261250"/>
    <n v="5"/>
    <n v="54640.11"/>
  </r>
  <r>
    <s v="AMZ10307"/>
    <x v="174"/>
    <s v="2025-03-19"/>
    <s v="Mehul"/>
    <x v="7"/>
    <x v="3"/>
    <s v="Travel"/>
    <x v="0"/>
    <s v="Odisha"/>
    <s v="Bhubaneswar"/>
    <x v="1"/>
    <n v="2"/>
    <n v="3420"/>
    <n v="5"/>
    <n v="659.08"/>
  </r>
  <r>
    <s v="AMZ10308"/>
    <x v="206"/>
    <s v="2025-06-05"/>
    <s v="Rahul"/>
    <x v="2"/>
    <x v="0"/>
    <s v="Accessories"/>
    <x v="1"/>
    <s v="Gujarat"/>
    <s v="Surat"/>
    <x v="2"/>
    <n v="5"/>
    <n v="7125"/>
    <n v="5"/>
    <n v="1283.28"/>
  </r>
  <r>
    <s v="AMZ10309"/>
    <x v="207"/>
    <s v="2025-05-11"/>
    <s v="Rahul"/>
    <x v="4"/>
    <x v="0"/>
    <s v="Printers"/>
    <x v="0"/>
    <s v="West Bengal"/>
    <s v="Kolkata"/>
    <x v="1"/>
    <n v="5"/>
    <n v="57000"/>
    <n v="5"/>
    <n v="10419.59"/>
  </r>
  <r>
    <s v="AMZ10310"/>
    <x v="147"/>
    <s v="2025-11-29"/>
    <s v="Karan"/>
    <x v="2"/>
    <x v="0"/>
    <s v="Accessories"/>
    <x v="1"/>
    <s v="Maharashtra"/>
    <s v="Pune"/>
    <x v="3"/>
    <n v="2"/>
    <n v="2850"/>
    <n v="5"/>
    <n v="358.22"/>
  </r>
  <r>
    <s v="AMZ10311"/>
    <x v="9"/>
    <s v="2025-06-21"/>
    <s v="Prem"/>
    <x v="8"/>
    <x v="1"/>
    <s v="Tables"/>
    <x v="0"/>
    <s v="West Bengal"/>
    <s v="Kolkata"/>
    <x v="3"/>
    <n v="3"/>
    <n v="25500"/>
    <n v="0"/>
    <n v="4173.32"/>
  </r>
  <r>
    <s v="AMZ10312"/>
    <x v="10"/>
    <s v="2025-10-03"/>
    <s v="Prem"/>
    <x v="9"/>
    <x v="4"/>
    <s v="Kitchen"/>
    <x v="0"/>
    <s v="West Bengal"/>
    <s v="Kolkata"/>
    <x v="1"/>
    <n v="2"/>
    <n v="720"/>
    <n v="20"/>
    <n v="101.9"/>
  </r>
  <r>
    <s v="AMZ10313"/>
    <x v="208"/>
    <s v="2025-05-28"/>
    <s v="Mehul"/>
    <x v="7"/>
    <x v="3"/>
    <s v="Travel"/>
    <x v="3"/>
    <s v="Delhi"/>
    <s v="New Delhi"/>
    <x v="0"/>
    <n v="5"/>
    <n v="8550"/>
    <n v="5"/>
    <n v="916.45"/>
  </r>
  <r>
    <s v="AMZ10314"/>
    <x v="62"/>
    <s v="2025-03-30"/>
    <s v="Rahul"/>
    <x v="1"/>
    <x v="1"/>
    <s v="Chairs"/>
    <x v="1"/>
    <s v="Maharashtra"/>
    <s v="Mumbai"/>
    <x v="2"/>
    <n v="1"/>
    <n v="5850"/>
    <n v="10"/>
    <n v="931.23"/>
  </r>
  <r>
    <s v="AMZ10315"/>
    <x v="151"/>
    <s v="2025-05-29"/>
    <s v="Sneha"/>
    <x v="0"/>
    <x v="0"/>
    <s v="Computers"/>
    <x v="2"/>
    <s v="Tamil Nadu"/>
    <s v="Chennai"/>
    <x v="2"/>
    <n v="4"/>
    <n v="209000"/>
    <n v="5"/>
    <n v="40289.629999999997"/>
  </r>
  <r>
    <s v="AMZ10316"/>
    <x v="165"/>
    <s v="2025-03-31"/>
    <s v="Mehul"/>
    <x v="8"/>
    <x v="1"/>
    <s v="Tables"/>
    <x v="3"/>
    <s v="Delhi"/>
    <s v="New Delhi"/>
    <x v="3"/>
    <n v="4"/>
    <n v="30600"/>
    <n v="10"/>
    <n v="4308.83"/>
  </r>
  <r>
    <s v="AMZ10317"/>
    <x v="128"/>
    <s v="2025-10-15"/>
    <s v="Riya"/>
    <x v="5"/>
    <x v="0"/>
    <s v="Accessories"/>
    <x v="2"/>
    <s v="Tamil Nadu"/>
    <s v="Chennai"/>
    <x v="1"/>
    <n v="1"/>
    <n v="765"/>
    <n v="15"/>
    <n v="103.23"/>
  </r>
  <r>
    <s v="AMZ10318"/>
    <x v="28"/>
    <s v="2025-01-28"/>
    <s v="Rahul"/>
    <x v="2"/>
    <x v="0"/>
    <s v="Accessories"/>
    <x v="0"/>
    <s v="Odisha"/>
    <s v="Bhubaneswar"/>
    <x v="2"/>
    <n v="1"/>
    <n v="1500"/>
    <n v="0"/>
    <n v="325.02999999999997"/>
  </r>
  <r>
    <s v="AMZ10319"/>
    <x v="182"/>
    <s v="2025-06-16"/>
    <s v="Karan"/>
    <x v="1"/>
    <x v="1"/>
    <s v="Chairs"/>
    <x v="1"/>
    <s v="Maharashtra"/>
    <s v="Mumbai"/>
    <x v="3"/>
    <n v="2"/>
    <n v="11050"/>
    <n v="15"/>
    <n v="2321.7600000000002"/>
  </r>
  <r>
    <s v="AMZ10320"/>
    <x v="172"/>
    <s v="2025-02-20"/>
    <s v="Prem"/>
    <x v="3"/>
    <x v="2"/>
    <s v="Stationery"/>
    <x v="3"/>
    <s v="Punjab"/>
    <s v="Ludhiana"/>
    <x v="1"/>
    <n v="3"/>
    <n v="945"/>
    <n v="10"/>
    <n v="81.540000000000006"/>
  </r>
  <r>
    <s v="AMZ10321"/>
    <x v="209"/>
    <s v="2025-12-19"/>
    <s v="Neha"/>
    <x v="6"/>
    <x v="0"/>
    <s v="Accessories"/>
    <x v="1"/>
    <s v="Maharashtra"/>
    <s v="Pune"/>
    <x v="2"/>
    <n v="3"/>
    <n v="5610"/>
    <n v="15"/>
    <n v="641.23"/>
  </r>
  <r>
    <s v="AMZ10322"/>
    <x v="9"/>
    <s v="2025-06-21"/>
    <s v="Neha"/>
    <x v="5"/>
    <x v="0"/>
    <s v="Accessories"/>
    <x v="0"/>
    <s v="West Bengal"/>
    <s v="Kolkata"/>
    <x v="3"/>
    <n v="3"/>
    <n v="2295"/>
    <n v="15"/>
    <n v="377.65"/>
  </r>
  <r>
    <s v="AMZ10323"/>
    <x v="151"/>
    <s v="2025-05-30"/>
    <s v="Prem"/>
    <x v="0"/>
    <x v="0"/>
    <s v="Computers"/>
    <x v="3"/>
    <s v="Punjab"/>
    <s v="Ludhiana"/>
    <x v="2"/>
    <n v="2"/>
    <n v="110000"/>
    <n v="0"/>
    <n v="12460.31"/>
  </r>
  <r>
    <s v="AMZ10324"/>
    <x v="6"/>
    <s v="2025-10-27"/>
    <s v="Priya"/>
    <x v="4"/>
    <x v="0"/>
    <s v="Printers"/>
    <x v="1"/>
    <s v="Gujarat"/>
    <s v="Surat"/>
    <x v="1"/>
    <n v="2"/>
    <n v="20400"/>
    <n v="15"/>
    <n v="2748.72"/>
  </r>
  <r>
    <s v="AMZ10325"/>
    <x v="95"/>
    <s v="2025-11-14"/>
    <s v="Sneha"/>
    <x v="1"/>
    <x v="1"/>
    <s v="Chairs"/>
    <x v="1"/>
    <s v="Maharashtra"/>
    <s v="Mumbai"/>
    <x v="1"/>
    <n v="2"/>
    <n v="11700"/>
    <n v="10"/>
    <n v="1713.94"/>
  </r>
  <r>
    <s v="AMZ10326"/>
    <x v="163"/>
    <s v="2025-05-23"/>
    <s v="Vikas"/>
    <x v="2"/>
    <x v="0"/>
    <s v="Accessories"/>
    <x v="2"/>
    <s v="Tamil Nadu"/>
    <s v="Chennai"/>
    <x v="1"/>
    <n v="3"/>
    <n v="4275"/>
    <n v="5"/>
    <n v="572.36"/>
  </r>
  <r>
    <s v="AMZ10327"/>
    <x v="147"/>
    <s v="2025-12-01"/>
    <s v="Mehul"/>
    <x v="7"/>
    <x v="3"/>
    <s v="Travel"/>
    <x v="2"/>
    <s v="Karnataka"/>
    <s v="Bengaluru"/>
    <x v="3"/>
    <n v="4"/>
    <n v="7200"/>
    <n v="0"/>
    <n v="706.18"/>
  </r>
  <r>
    <s v="AMZ10328"/>
    <x v="16"/>
    <s v="2025-05-08"/>
    <s v="Vikas"/>
    <x v="5"/>
    <x v="0"/>
    <s v="Accessories"/>
    <x v="2"/>
    <s v="Karnataka"/>
    <s v="Bengaluru"/>
    <x v="2"/>
    <n v="3"/>
    <n v="2295"/>
    <n v="15"/>
    <n v="300.7"/>
  </r>
  <r>
    <s v="AMZ10329"/>
    <x v="210"/>
    <s v="2025-05-13"/>
    <s v="Riya"/>
    <x v="4"/>
    <x v="0"/>
    <s v="Printers"/>
    <x v="2"/>
    <s v="Tamil Nadu"/>
    <s v="Chennai"/>
    <x v="3"/>
    <n v="1"/>
    <n v="11400"/>
    <n v="5"/>
    <n v="1281.02"/>
  </r>
  <r>
    <s v="AMZ10330"/>
    <x v="191"/>
    <s v="2025-12-15"/>
    <s v="Sneha"/>
    <x v="6"/>
    <x v="0"/>
    <s v="Accessories"/>
    <x v="2"/>
    <s v="Karnataka"/>
    <s v="Bengaluru"/>
    <x v="3"/>
    <n v="3"/>
    <n v="5940"/>
    <n v="10"/>
    <n v="1218.54"/>
  </r>
  <r>
    <s v="AMZ10331"/>
    <x v="211"/>
    <s v="2025-08-08"/>
    <s v="Amit"/>
    <x v="5"/>
    <x v="0"/>
    <s v="Accessories"/>
    <x v="0"/>
    <s v="West Bengal"/>
    <s v="Kolkata"/>
    <x v="0"/>
    <n v="5"/>
    <n v="4050"/>
    <n v="10"/>
    <n v="700.12"/>
  </r>
  <r>
    <s v="AMZ10332"/>
    <x v="212"/>
    <s v="2025-05-09"/>
    <s v="Riya"/>
    <x v="7"/>
    <x v="3"/>
    <s v="Travel"/>
    <x v="3"/>
    <s v="Punjab"/>
    <s v="Ludhiana"/>
    <x v="1"/>
    <n v="2"/>
    <n v="3240"/>
    <n v="10"/>
    <n v="606.04999999999995"/>
  </r>
  <r>
    <s v="AMZ10333"/>
    <x v="119"/>
    <s v="2025-10-03"/>
    <s v="Neha"/>
    <x v="8"/>
    <x v="1"/>
    <s v="Tables"/>
    <x v="1"/>
    <s v="Maharashtra"/>
    <s v="Pune"/>
    <x v="2"/>
    <n v="5"/>
    <n v="34000"/>
    <n v="20"/>
    <n v="7150.23"/>
  </r>
  <r>
    <s v="AMZ10334"/>
    <x v="202"/>
    <s v="2025-05-16"/>
    <s v="Riya"/>
    <x v="3"/>
    <x v="2"/>
    <s v="Stationery"/>
    <x v="2"/>
    <s v="Karnataka"/>
    <s v="Bengaluru"/>
    <x v="1"/>
    <n v="5"/>
    <n v="1662.5"/>
    <n v="5"/>
    <n v="208.41"/>
  </r>
  <r>
    <s v="AMZ10335"/>
    <x v="198"/>
    <s v="2025-11-05"/>
    <s v="Priya"/>
    <x v="1"/>
    <x v="1"/>
    <s v="Chairs"/>
    <x v="2"/>
    <s v="Tamil Nadu"/>
    <s v="Chennai"/>
    <x v="2"/>
    <n v="2"/>
    <n v="11700"/>
    <n v="10"/>
    <n v="1854.88"/>
  </r>
  <r>
    <s v="AMZ10336"/>
    <x v="75"/>
    <s v="2025-05-06"/>
    <s v="Mehul"/>
    <x v="5"/>
    <x v="0"/>
    <s v="Accessories"/>
    <x v="1"/>
    <s v="Maharashtra"/>
    <s v="Mumbai"/>
    <x v="1"/>
    <n v="5"/>
    <n v="4050"/>
    <n v="10"/>
    <n v="427.42"/>
  </r>
  <r>
    <s v="AMZ10337"/>
    <x v="213"/>
    <s v="2025-11-19"/>
    <s v="Amit"/>
    <x v="2"/>
    <x v="0"/>
    <s v="Accessories"/>
    <x v="3"/>
    <s v="Punjab"/>
    <s v="Ludhiana"/>
    <x v="0"/>
    <n v="5"/>
    <n v="6000"/>
    <n v="20"/>
    <n v="646.6"/>
  </r>
  <r>
    <s v="AMZ10338"/>
    <x v="96"/>
    <s v="2025-08-31"/>
    <s v="Karan"/>
    <x v="6"/>
    <x v="0"/>
    <s v="Accessories"/>
    <x v="1"/>
    <s v="Maharashtra"/>
    <s v="Mumbai"/>
    <x v="2"/>
    <n v="3"/>
    <n v="6270"/>
    <n v="5"/>
    <n v="545.85"/>
  </r>
  <r>
    <s v="AMZ10339"/>
    <x v="83"/>
    <s v="2025-10-28"/>
    <s v="Prem"/>
    <x v="3"/>
    <x v="2"/>
    <s v="Stationery"/>
    <x v="0"/>
    <s v="West Bengal"/>
    <s v="Kolkata"/>
    <x v="0"/>
    <n v="3"/>
    <n v="1050"/>
    <n v="0"/>
    <n v="215.85"/>
  </r>
  <r>
    <s v="AMZ10340"/>
    <x v="214"/>
    <s v="2025-04-07"/>
    <s v="Amit"/>
    <x v="7"/>
    <x v="3"/>
    <s v="Travel"/>
    <x v="1"/>
    <s v="Maharashtra"/>
    <s v="Pune"/>
    <x v="3"/>
    <n v="3"/>
    <n v="4860"/>
    <n v="10"/>
    <n v="777.37"/>
  </r>
  <r>
    <s v="AMZ10341"/>
    <x v="61"/>
    <s v="2025-10-16"/>
    <s v="Sneha"/>
    <x v="9"/>
    <x v="4"/>
    <s v="Kitchen"/>
    <x v="0"/>
    <s v="West Bengal"/>
    <s v="Kolkata"/>
    <x v="2"/>
    <n v="4"/>
    <n v="1710"/>
    <n v="5"/>
    <n v="195.65"/>
  </r>
  <r>
    <s v="AMZ10342"/>
    <x v="90"/>
    <s v="2025-01-28"/>
    <s v="Mehul"/>
    <x v="1"/>
    <x v="1"/>
    <s v="Chairs"/>
    <x v="0"/>
    <s v="West Bengal"/>
    <s v="Kolkata"/>
    <x v="3"/>
    <n v="5"/>
    <n v="30875"/>
    <n v="5"/>
    <n v="3832.3"/>
  </r>
  <r>
    <s v="AMZ10343"/>
    <x v="38"/>
    <s v="2025-05-27"/>
    <s v="Prem"/>
    <x v="5"/>
    <x v="0"/>
    <s v="Accessories"/>
    <x v="1"/>
    <s v="Gujarat"/>
    <s v="Surat"/>
    <x v="2"/>
    <n v="1"/>
    <n v="900"/>
    <n v="0"/>
    <n v="183.15"/>
  </r>
  <r>
    <s v="AMZ10344"/>
    <x v="215"/>
    <s v="2025-01-04"/>
    <s v="Priya"/>
    <x v="4"/>
    <x v="0"/>
    <s v="Printers"/>
    <x v="1"/>
    <s v="Gujarat"/>
    <s v="Surat"/>
    <x v="2"/>
    <n v="2"/>
    <n v="24000"/>
    <n v="0"/>
    <n v="4355.21"/>
  </r>
  <r>
    <s v="AMZ10345"/>
    <x v="208"/>
    <s v="2025-06-02"/>
    <s v="Riya"/>
    <x v="5"/>
    <x v="0"/>
    <s v="Accessories"/>
    <x v="3"/>
    <s v="Delhi"/>
    <s v="New Delhi"/>
    <x v="2"/>
    <n v="4"/>
    <n v="3060"/>
    <n v="15"/>
    <n v="456.2"/>
  </r>
  <r>
    <s v="AMZ10346"/>
    <x v="216"/>
    <s v="2025-02-17"/>
    <s v="Vikas"/>
    <x v="1"/>
    <x v="1"/>
    <s v="Chairs"/>
    <x v="3"/>
    <s v="Punjab"/>
    <s v="Ludhiana"/>
    <x v="0"/>
    <n v="3"/>
    <n v="18525"/>
    <n v="5"/>
    <n v="2263.85"/>
  </r>
  <r>
    <s v="AMZ10347"/>
    <x v="65"/>
    <s v="2025-11-27"/>
    <s v="Vikas"/>
    <x v="1"/>
    <x v="1"/>
    <s v="Chairs"/>
    <x v="2"/>
    <s v="Karnataka"/>
    <s v="Bengaluru"/>
    <x v="1"/>
    <n v="3"/>
    <n v="15600"/>
    <n v="20"/>
    <n v="2215.1799999999998"/>
  </r>
  <r>
    <s v="AMZ10348"/>
    <x v="217"/>
    <s v="2025-01-09"/>
    <s v="Rahul"/>
    <x v="0"/>
    <x v="0"/>
    <s v="Computers"/>
    <x v="1"/>
    <s v="Gujarat"/>
    <s v="Surat"/>
    <x v="2"/>
    <n v="2"/>
    <n v="110000"/>
    <n v="0"/>
    <n v="18266.71"/>
  </r>
  <r>
    <s v="AMZ10349"/>
    <x v="92"/>
    <s v="2025-05-03"/>
    <s v="Karan"/>
    <x v="9"/>
    <x v="4"/>
    <s v="Kitchen"/>
    <x v="1"/>
    <s v="Maharashtra"/>
    <s v="Mumbai"/>
    <x v="1"/>
    <n v="5"/>
    <n v="2025"/>
    <n v="10"/>
    <n v="432.18"/>
  </r>
  <r>
    <s v="AMZ10350"/>
    <x v="218"/>
    <s v="2025-02-17"/>
    <s v="Prem"/>
    <x v="2"/>
    <x v="0"/>
    <s v="Accessories"/>
    <x v="0"/>
    <s v="West Bengal"/>
    <s v="Kolkata"/>
    <x v="2"/>
    <n v="1"/>
    <n v="1275"/>
    <n v="15"/>
    <n v="117.41"/>
  </r>
  <r>
    <s v="AMZ10351"/>
    <x v="219"/>
    <s v="2025-02-27"/>
    <s v="Amit"/>
    <x v="0"/>
    <x v="0"/>
    <s v="Computers"/>
    <x v="1"/>
    <s v="Maharashtra"/>
    <s v="Pune"/>
    <x v="0"/>
    <n v="1"/>
    <n v="44000"/>
    <n v="20"/>
    <n v="9209.4500000000007"/>
  </r>
  <r>
    <s v="AMZ10352"/>
    <x v="142"/>
    <s v="2025-07-01"/>
    <s v="Sneha"/>
    <x v="5"/>
    <x v="0"/>
    <s v="Accessories"/>
    <x v="3"/>
    <s v="Delhi"/>
    <s v="New Delhi"/>
    <x v="3"/>
    <n v="4"/>
    <n v="3600"/>
    <n v="0"/>
    <n v="541.4"/>
  </r>
  <r>
    <s v="AMZ10353"/>
    <x v="220"/>
    <s v="2025-06-20"/>
    <s v="Karan"/>
    <x v="6"/>
    <x v="0"/>
    <s v="Accessories"/>
    <x v="0"/>
    <s v="West Bengal"/>
    <s v="Kolkata"/>
    <x v="3"/>
    <n v="5"/>
    <n v="9900"/>
    <n v="10"/>
    <n v="970.07"/>
  </r>
  <r>
    <s v="AMZ10354"/>
    <x v="164"/>
    <s v="2025-03-24"/>
    <s v="Amit"/>
    <x v="9"/>
    <x v="4"/>
    <s v="Kitchen"/>
    <x v="0"/>
    <s v="Odisha"/>
    <s v="Bhubaneswar"/>
    <x v="2"/>
    <n v="3"/>
    <n v="1282.5"/>
    <n v="5"/>
    <n v="111.86"/>
  </r>
  <r>
    <s v="AMZ10355"/>
    <x v="202"/>
    <s v="2025-05-17"/>
    <s v="Amit"/>
    <x v="5"/>
    <x v="0"/>
    <s v="Accessories"/>
    <x v="2"/>
    <s v="Tamil Nadu"/>
    <s v="Chennai"/>
    <x v="2"/>
    <n v="5"/>
    <n v="4050"/>
    <n v="10"/>
    <n v="560.88"/>
  </r>
  <r>
    <s v="AMZ10356"/>
    <x v="221"/>
    <s v="2025-05-23"/>
    <s v="Amit"/>
    <x v="7"/>
    <x v="3"/>
    <s v="Travel"/>
    <x v="3"/>
    <s v="Delhi"/>
    <s v="New Delhi"/>
    <x v="2"/>
    <n v="3"/>
    <n v="4320"/>
    <n v="20"/>
    <n v="762.11"/>
  </r>
  <r>
    <s v="AMZ10357"/>
    <x v="153"/>
    <s v="2025-08-16"/>
    <s v="Prem"/>
    <x v="1"/>
    <x v="1"/>
    <s v="Chairs"/>
    <x v="1"/>
    <s v="Maharashtra"/>
    <s v="Pune"/>
    <x v="2"/>
    <n v="1"/>
    <n v="6175"/>
    <n v="5"/>
    <n v="655.09"/>
  </r>
  <r>
    <s v="AMZ10358"/>
    <x v="66"/>
    <s v="2025-03-11"/>
    <s v="Rahul"/>
    <x v="1"/>
    <x v="1"/>
    <s v="Chairs"/>
    <x v="3"/>
    <s v="Punjab"/>
    <s v="Ludhiana"/>
    <x v="3"/>
    <n v="1"/>
    <n v="6175"/>
    <n v="5"/>
    <n v="1018.21"/>
  </r>
  <r>
    <s v="AMZ10359"/>
    <x v="222"/>
    <s v="2025-10-16"/>
    <s v="Prem"/>
    <x v="2"/>
    <x v="0"/>
    <s v="Accessories"/>
    <x v="2"/>
    <s v="Karnataka"/>
    <s v="Bengaluru"/>
    <x v="0"/>
    <n v="1"/>
    <n v="1500"/>
    <n v="0"/>
    <n v="154.97999999999999"/>
  </r>
  <r>
    <s v="AMZ10360"/>
    <x v="223"/>
    <s v="2025-09-14"/>
    <s v="Prem"/>
    <x v="8"/>
    <x v="1"/>
    <s v="Tables"/>
    <x v="2"/>
    <s v="Karnataka"/>
    <s v="Bengaluru"/>
    <x v="3"/>
    <n v="1"/>
    <n v="8075"/>
    <n v="5"/>
    <n v="886.27"/>
  </r>
  <r>
    <s v="AMZ10361"/>
    <x v="224"/>
    <s v="2025-04-17"/>
    <s v="Amit"/>
    <x v="8"/>
    <x v="1"/>
    <s v="Tables"/>
    <x v="0"/>
    <s v="West Bengal"/>
    <s v="Kolkata"/>
    <x v="0"/>
    <n v="2"/>
    <n v="13600"/>
    <n v="20"/>
    <n v="1409.72"/>
  </r>
  <r>
    <s v="AMZ10362"/>
    <x v="215"/>
    <s v="2025-01-06"/>
    <s v="Mehul"/>
    <x v="5"/>
    <x v="0"/>
    <s v="Accessories"/>
    <x v="1"/>
    <s v="Maharashtra"/>
    <s v="Mumbai"/>
    <x v="0"/>
    <n v="1"/>
    <n v="765"/>
    <n v="15"/>
    <n v="119.6"/>
  </r>
  <r>
    <s v="AMZ10363"/>
    <x v="34"/>
    <s v="2025-10-07"/>
    <s v="Vikas"/>
    <x v="1"/>
    <x v="1"/>
    <s v="Chairs"/>
    <x v="1"/>
    <s v="Gujarat"/>
    <s v="Surat"/>
    <x v="0"/>
    <n v="1"/>
    <n v="5200"/>
    <n v="20"/>
    <n v="649.61"/>
  </r>
  <r>
    <s v="AMZ10364"/>
    <x v="11"/>
    <s v="2025-01-17"/>
    <s v="Karan"/>
    <x v="6"/>
    <x v="0"/>
    <s v="Accessories"/>
    <x v="0"/>
    <s v="West Bengal"/>
    <s v="Kolkata"/>
    <x v="0"/>
    <n v="3"/>
    <n v="5280"/>
    <n v="20"/>
    <n v="964.4"/>
  </r>
  <r>
    <s v="AMZ10365"/>
    <x v="225"/>
    <s v="2025-10-22"/>
    <s v="Karan"/>
    <x v="7"/>
    <x v="3"/>
    <s v="Travel"/>
    <x v="3"/>
    <s v="Punjab"/>
    <s v="Ludhiana"/>
    <x v="1"/>
    <n v="4"/>
    <n v="7200"/>
    <n v="0"/>
    <n v="1203.6099999999999"/>
  </r>
  <r>
    <s v="AMZ10366"/>
    <x v="68"/>
    <s v="2025-03-26"/>
    <s v="Amit"/>
    <x v="3"/>
    <x v="2"/>
    <s v="Stationery"/>
    <x v="3"/>
    <s v="Delhi"/>
    <s v="New Delhi"/>
    <x v="0"/>
    <n v="3"/>
    <n v="840"/>
    <n v="20"/>
    <n v="139.82"/>
  </r>
  <r>
    <s v="AMZ10367"/>
    <x v="42"/>
    <s v="2025-04-29"/>
    <s v="Priya"/>
    <x v="1"/>
    <x v="1"/>
    <s v="Chairs"/>
    <x v="1"/>
    <s v="Gujarat"/>
    <s v="Surat"/>
    <x v="1"/>
    <n v="4"/>
    <n v="26000"/>
    <n v="0"/>
    <n v="2432.6799999999998"/>
  </r>
  <r>
    <s v="AMZ10368"/>
    <x v="187"/>
    <s v="2025-08-06"/>
    <s v="Prem"/>
    <x v="6"/>
    <x v="0"/>
    <s v="Accessories"/>
    <x v="0"/>
    <s v="West Bengal"/>
    <s v="Kolkata"/>
    <x v="1"/>
    <n v="4"/>
    <n v="8800"/>
    <n v="0"/>
    <n v="955.55"/>
  </r>
  <r>
    <s v="AMZ10369"/>
    <x v="226"/>
    <s v="2025-02-01"/>
    <s v="Rahul"/>
    <x v="0"/>
    <x v="0"/>
    <s v="Computers"/>
    <x v="3"/>
    <s v="Delhi"/>
    <s v="New Delhi"/>
    <x v="1"/>
    <n v="4"/>
    <n v="209000"/>
    <n v="5"/>
    <n v="18825.8"/>
  </r>
  <r>
    <s v="AMZ10370"/>
    <x v="221"/>
    <s v="2025-05-27"/>
    <s v="Rahul"/>
    <x v="4"/>
    <x v="0"/>
    <s v="Printers"/>
    <x v="0"/>
    <s v="West Bengal"/>
    <s v="Kolkata"/>
    <x v="2"/>
    <n v="5"/>
    <n v="48000"/>
    <n v="20"/>
    <n v="7576.78"/>
  </r>
  <r>
    <s v="AMZ10371"/>
    <x v="227"/>
    <s v="2025-10-06"/>
    <s v="Priya"/>
    <x v="4"/>
    <x v="0"/>
    <s v="Printers"/>
    <x v="3"/>
    <s v="Punjab"/>
    <s v="Ludhiana"/>
    <x v="1"/>
    <n v="3"/>
    <n v="36000"/>
    <n v="0"/>
    <n v="7788.64"/>
  </r>
  <r>
    <s v="AMZ10372"/>
    <x v="89"/>
    <s v="2025-08-25"/>
    <s v="Karan"/>
    <x v="5"/>
    <x v="0"/>
    <s v="Accessories"/>
    <x v="0"/>
    <s v="Odisha"/>
    <s v="Bhubaneswar"/>
    <x v="3"/>
    <n v="5"/>
    <n v="3825"/>
    <n v="15"/>
    <n v="801.62"/>
  </r>
  <r>
    <s v="AMZ10373"/>
    <x v="190"/>
    <s v="2025-01-12"/>
    <s v="Vikas"/>
    <x v="0"/>
    <x v="0"/>
    <s v="Computers"/>
    <x v="0"/>
    <s v="West Bengal"/>
    <s v="Kolkata"/>
    <x v="0"/>
    <n v="1"/>
    <n v="55000"/>
    <n v="0"/>
    <n v="6083.23"/>
  </r>
  <r>
    <s v="AMZ10374"/>
    <x v="228"/>
    <s v="2025-01-20"/>
    <s v="Neha"/>
    <x v="0"/>
    <x v="0"/>
    <s v="Computers"/>
    <x v="3"/>
    <s v="Delhi"/>
    <s v="New Delhi"/>
    <x v="1"/>
    <n v="2"/>
    <n v="104500"/>
    <n v="5"/>
    <n v="12346.51"/>
  </r>
  <r>
    <s v="AMZ10375"/>
    <x v="229"/>
    <s v="2025-08-03"/>
    <s v="Sneha"/>
    <x v="1"/>
    <x v="1"/>
    <s v="Chairs"/>
    <x v="3"/>
    <s v="Delhi"/>
    <s v="New Delhi"/>
    <x v="2"/>
    <n v="5"/>
    <n v="26000"/>
    <n v="20"/>
    <n v="3915.47"/>
  </r>
  <r>
    <s v="AMZ10376"/>
    <x v="230"/>
    <s v="2025-05-18"/>
    <s v="Sneha"/>
    <x v="3"/>
    <x v="2"/>
    <s v="Stationery"/>
    <x v="0"/>
    <s v="West Bengal"/>
    <s v="Kolkata"/>
    <x v="3"/>
    <n v="3"/>
    <n v="840"/>
    <n v="20"/>
    <n v="69.069999999999993"/>
  </r>
  <r>
    <s v="AMZ10377"/>
    <x v="201"/>
    <s v="2025-06-30"/>
    <s v="Sneha"/>
    <x v="5"/>
    <x v="0"/>
    <s v="Accessories"/>
    <x v="3"/>
    <s v="Delhi"/>
    <s v="New Delhi"/>
    <x v="0"/>
    <n v="3"/>
    <n v="2430"/>
    <n v="10"/>
    <n v="345.53"/>
  </r>
  <r>
    <s v="AMZ10378"/>
    <x v="231"/>
    <s v="2025-12-24"/>
    <s v="Riya"/>
    <x v="4"/>
    <x v="0"/>
    <s v="Printers"/>
    <x v="2"/>
    <s v="Karnataka"/>
    <s v="Bengaluru"/>
    <x v="2"/>
    <n v="3"/>
    <n v="36000"/>
    <n v="0"/>
    <n v="7034.49"/>
  </r>
  <r>
    <s v="AMZ10379"/>
    <x v="86"/>
    <s v="2025-10-15"/>
    <s v="Sneha"/>
    <x v="2"/>
    <x v="0"/>
    <s v="Accessories"/>
    <x v="1"/>
    <s v="Maharashtra"/>
    <s v="Pune"/>
    <x v="0"/>
    <n v="5"/>
    <n v="6750"/>
    <n v="10"/>
    <n v="1318.54"/>
  </r>
  <r>
    <s v="AMZ10380"/>
    <x v="140"/>
    <s v="2025-12-17"/>
    <s v="Sneha"/>
    <x v="8"/>
    <x v="1"/>
    <s v="Tables"/>
    <x v="0"/>
    <s v="Odisha"/>
    <s v="Bhubaneswar"/>
    <x v="2"/>
    <n v="2"/>
    <n v="15300"/>
    <n v="10"/>
    <n v="2482.9899999999998"/>
  </r>
  <r>
    <s v="AMZ10381"/>
    <x v="194"/>
    <s v="2025-11-02"/>
    <s v="Prem"/>
    <x v="0"/>
    <x v="0"/>
    <s v="Computers"/>
    <x v="2"/>
    <s v="Karnataka"/>
    <s v="Bengaluru"/>
    <x v="2"/>
    <n v="4"/>
    <n v="176000"/>
    <n v="20"/>
    <n v="17355.25"/>
  </r>
  <r>
    <s v="AMZ10382"/>
    <x v="232"/>
    <s v="2025-11-02"/>
    <s v="Sneha"/>
    <x v="6"/>
    <x v="0"/>
    <s v="Accessories"/>
    <x v="2"/>
    <s v="Karnataka"/>
    <s v="Bengaluru"/>
    <x v="0"/>
    <n v="4"/>
    <n v="8360"/>
    <n v="5"/>
    <n v="1775.38"/>
  </r>
  <r>
    <s v="AMZ10383"/>
    <x v="126"/>
    <s v="2025-09-22"/>
    <s v="Amit"/>
    <x v="4"/>
    <x v="0"/>
    <s v="Printers"/>
    <x v="0"/>
    <s v="Odisha"/>
    <s v="Bhubaneswar"/>
    <x v="1"/>
    <n v="1"/>
    <n v="10800"/>
    <n v="10"/>
    <n v="1127.3499999999999"/>
  </r>
  <r>
    <s v="AMZ10384"/>
    <x v="233"/>
    <s v="2025-04-28"/>
    <s v="Amit"/>
    <x v="8"/>
    <x v="1"/>
    <s v="Tables"/>
    <x v="2"/>
    <s v="Tamil Nadu"/>
    <s v="Chennai"/>
    <x v="3"/>
    <n v="1"/>
    <n v="8075"/>
    <n v="5"/>
    <n v="1439.2"/>
  </r>
  <r>
    <s v="AMZ10385"/>
    <x v="214"/>
    <s v="2025-04-03"/>
    <s v="Rahul"/>
    <x v="3"/>
    <x v="2"/>
    <s v="Stationery"/>
    <x v="1"/>
    <s v="Maharashtra"/>
    <s v="Pune"/>
    <x v="3"/>
    <n v="3"/>
    <n v="997.5"/>
    <n v="5"/>
    <n v="138.41"/>
  </r>
  <r>
    <s v="AMZ10386"/>
    <x v="234"/>
    <s v="2025-04-16"/>
    <s v="Mehul"/>
    <x v="2"/>
    <x v="0"/>
    <s v="Accessories"/>
    <x v="2"/>
    <s v="Karnataka"/>
    <s v="Bengaluru"/>
    <x v="2"/>
    <n v="5"/>
    <n v="6375"/>
    <n v="15"/>
    <n v="816.33"/>
  </r>
  <r>
    <s v="AMZ10387"/>
    <x v="82"/>
    <s v="2025-07-09"/>
    <s v="Vikas"/>
    <x v="7"/>
    <x v="3"/>
    <s v="Travel"/>
    <x v="0"/>
    <s v="Odisha"/>
    <s v="Bhubaneswar"/>
    <x v="2"/>
    <n v="5"/>
    <n v="7200"/>
    <n v="20"/>
    <n v="1538.5"/>
  </r>
  <r>
    <s v="AMZ10388"/>
    <x v="159"/>
    <s v="2025-07-25"/>
    <s v="Prem"/>
    <x v="6"/>
    <x v="0"/>
    <s v="Accessories"/>
    <x v="2"/>
    <s v="Tamil Nadu"/>
    <s v="Chennai"/>
    <x v="1"/>
    <n v="2"/>
    <n v="3740"/>
    <n v="15"/>
    <n v="504.94"/>
  </r>
  <r>
    <s v="AMZ10389"/>
    <x v="235"/>
    <s v="2025-05-26"/>
    <s v="Amit"/>
    <x v="8"/>
    <x v="1"/>
    <s v="Tables"/>
    <x v="0"/>
    <s v="Odisha"/>
    <s v="Bhubaneswar"/>
    <x v="2"/>
    <n v="2"/>
    <n v="16150"/>
    <n v="5"/>
    <n v="1694.06"/>
  </r>
  <r>
    <s v="AMZ10390"/>
    <x v="122"/>
    <s v="2025-12-08"/>
    <s v="Vikas"/>
    <x v="0"/>
    <x v="0"/>
    <s v="Computers"/>
    <x v="1"/>
    <s v="Gujarat"/>
    <s v="Surat"/>
    <x v="2"/>
    <n v="4"/>
    <n v="209000"/>
    <n v="5"/>
    <n v="40498.089999999997"/>
  </r>
  <r>
    <s v="AMZ10391"/>
    <x v="210"/>
    <s v="2025-05-13"/>
    <s v="Sneha"/>
    <x v="6"/>
    <x v="0"/>
    <s v="Accessories"/>
    <x v="1"/>
    <s v="Gujarat"/>
    <s v="Surat"/>
    <x v="2"/>
    <n v="2"/>
    <n v="3520"/>
    <n v="20"/>
    <n v="658.3"/>
  </r>
  <r>
    <s v="AMZ10392"/>
    <x v="236"/>
    <s v="2025-10-06"/>
    <s v="Vikas"/>
    <x v="2"/>
    <x v="0"/>
    <s v="Accessories"/>
    <x v="1"/>
    <s v="Gujarat"/>
    <s v="Surat"/>
    <x v="0"/>
    <n v="2"/>
    <n v="2400"/>
    <n v="20"/>
    <n v="496.73"/>
  </r>
  <r>
    <s v="AMZ10393"/>
    <x v="237"/>
    <s v="2025-10-13"/>
    <s v="Rahul"/>
    <x v="2"/>
    <x v="0"/>
    <s v="Accessories"/>
    <x v="2"/>
    <s v="Tamil Nadu"/>
    <s v="Chennai"/>
    <x v="2"/>
    <n v="4"/>
    <n v="4800"/>
    <n v="20"/>
    <n v="737.85"/>
  </r>
  <r>
    <s v="AMZ10394"/>
    <x v="110"/>
    <s v="2025-02-05"/>
    <s v="Rahul"/>
    <x v="8"/>
    <x v="1"/>
    <s v="Tables"/>
    <x v="1"/>
    <s v="Gujarat"/>
    <s v="Surat"/>
    <x v="2"/>
    <n v="2"/>
    <n v="15300"/>
    <n v="10"/>
    <n v="1739.47"/>
  </r>
  <r>
    <s v="AMZ10395"/>
    <x v="238"/>
    <s v="2025-07-06"/>
    <s v="Karan"/>
    <x v="5"/>
    <x v="0"/>
    <s v="Accessories"/>
    <x v="3"/>
    <s v="Delhi"/>
    <s v="New Delhi"/>
    <x v="0"/>
    <n v="4"/>
    <n v="3240"/>
    <n v="10"/>
    <n v="458.56"/>
  </r>
  <r>
    <s v="AMZ10396"/>
    <x v="36"/>
    <s v="2025-09-29"/>
    <s v="Neha"/>
    <x v="1"/>
    <x v="1"/>
    <s v="Chairs"/>
    <x v="0"/>
    <s v="Odisha"/>
    <s v="Bhubaneswar"/>
    <x v="3"/>
    <n v="3"/>
    <n v="19500"/>
    <n v="0"/>
    <n v="3324.07"/>
  </r>
  <r>
    <s v="AMZ10397"/>
    <x v="239"/>
    <s v="2025-06-02"/>
    <s v="Rahul"/>
    <x v="8"/>
    <x v="1"/>
    <s v="Tables"/>
    <x v="0"/>
    <s v="West Bengal"/>
    <s v="Kolkata"/>
    <x v="0"/>
    <n v="5"/>
    <n v="38250"/>
    <n v="10"/>
    <n v="7360.28"/>
  </r>
  <r>
    <s v="AMZ10398"/>
    <x v="240"/>
    <s v="2025-08-21"/>
    <s v="Prem"/>
    <x v="2"/>
    <x v="0"/>
    <s v="Accessories"/>
    <x v="0"/>
    <s v="Odisha"/>
    <s v="Bhubaneswar"/>
    <x v="2"/>
    <n v="3"/>
    <n v="3825"/>
    <n v="15"/>
    <n v="676.01"/>
  </r>
  <r>
    <s v="AMZ10399"/>
    <x v="189"/>
    <s v="2025-11-23"/>
    <s v="Karan"/>
    <x v="7"/>
    <x v="3"/>
    <s v="Travel"/>
    <x v="1"/>
    <s v="Gujarat"/>
    <s v="Surat"/>
    <x v="2"/>
    <n v="1"/>
    <n v="1710"/>
    <n v="5"/>
    <n v="337.67"/>
  </r>
  <r>
    <s v="AMZ10400"/>
    <x v="118"/>
    <s v="2026-01-03"/>
    <s v="Rahul"/>
    <x v="1"/>
    <x v="1"/>
    <s v="Chairs"/>
    <x v="0"/>
    <s v="Odisha"/>
    <s v="Bhubaneswar"/>
    <x v="0"/>
    <n v="3"/>
    <n v="16575"/>
    <n v="15"/>
    <n v="3324.62"/>
  </r>
  <r>
    <s v="AMZ10401"/>
    <x v="241"/>
    <s v="2025-10-12"/>
    <s v="Prem"/>
    <x v="5"/>
    <x v="0"/>
    <s v="Accessories"/>
    <x v="2"/>
    <s v="Karnataka"/>
    <s v="Bengaluru"/>
    <x v="3"/>
    <n v="3"/>
    <n v="2160"/>
    <n v="20"/>
    <n v="383.7"/>
  </r>
  <r>
    <s v="AMZ10402"/>
    <x v="242"/>
    <s v="2025-05-09"/>
    <s v="Neha"/>
    <x v="5"/>
    <x v="0"/>
    <s v="Accessories"/>
    <x v="3"/>
    <s v="Punjab"/>
    <s v="Ludhiana"/>
    <x v="1"/>
    <n v="3"/>
    <n v="2160"/>
    <n v="20"/>
    <n v="451.2"/>
  </r>
  <r>
    <s v="AMZ10403"/>
    <x v="67"/>
    <s v="2025-04-09"/>
    <s v="Sneha"/>
    <x v="1"/>
    <x v="1"/>
    <s v="Chairs"/>
    <x v="1"/>
    <s v="Gujarat"/>
    <s v="Surat"/>
    <x v="0"/>
    <n v="5"/>
    <n v="27625"/>
    <n v="15"/>
    <n v="5010.4799999999996"/>
  </r>
  <r>
    <s v="AMZ10404"/>
    <x v="242"/>
    <s v="2025-05-14"/>
    <s v="Amit"/>
    <x v="1"/>
    <x v="1"/>
    <s v="Chairs"/>
    <x v="0"/>
    <s v="Odisha"/>
    <s v="Bhubaneswar"/>
    <x v="3"/>
    <n v="5"/>
    <n v="27625"/>
    <n v="15"/>
    <n v="3993.02"/>
  </r>
  <r>
    <s v="AMZ10405"/>
    <x v="164"/>
    <s v="2025-03-22"/>
    <s v="Priya"/>
    <x v="8"/>
    <x v="1"/>
    <s v="Tables"/>
    <x v="2"/>
    <s v="Tamil Nadu"/>
    <s v="Chennai"/>
    <x v="0"/>
    <n v="2"/>
    <n v="13600"/>
    <n v="20"/>
    <n v="2415.08"/>
  </r>
  <r>
    <s v="AMZ10406"/>
    <x v="88"/>
    <s v="2025-09-10"/>
    <s v="Rahul"/>
    <x v="9"/>
    <x v="4"/>
    <s v="Kitchen"/>
    <x v="0"/>
    <s v="West Bengal"/>
    <s v="Kolkata"/>
    <x v="2"/>
    <n v="2"/>
    <n v="855"/>
    <n v="5"/>
    <n v="151.22999999999999"/>
  </r>
  <r>
    <s v="AMZ10407"/>
    <x v="120"/>
    <s v="2025-03-27"/>
    <s v="Karan"/>
    <x v="1"/>
    <x v="1"/>
    <s v="Chairs"/>
    <x v="0"/>
    <s v="Odisha"/>
    <s v="Bhubaneswar"/>
    <x v="1"/>
    <n v="2"/>
    <n v="12350"/>
    <n v="5"/>
    <n v="1627.97"/>
  </r>
  <r>
    <s v="AMZ10408"/>
    <x v="243"/>
    <s v="2025-07-23"/>
    <s v="Rahul"/>
    <x v="9"/>
    <x v="4"/>
    <s v="Kitchen"/>
    <x v="2"/>
    <s v="Tamil Nadu"/>
    <s v="Chennai"/>
    <x v="2"/>
    <n v="3"/>
    <n v="1215"/>
    <n v="10"/>
    <n v="205.05"/>
  </r>
  <r>
    <s v="AMZ10409"/>
    <x v="165"/>
    <s v="2025-03-27"/>
    <s v="Priya"/>
    <x v="7"/>
    <x v="3"/>
    <s v="Travel"/>
    <x v="2"/>
    <s v="Karnataka"/>
    <s v="Bengaluru"/>
    <x v="1"/>
    <n v="5"/>
    <n v="7650"/>
    <n v="15"/>
    <n v="914.03"/>
  </r>
  <r>
    <s v="AMZ10410"/>
    <x v="134"/>
    <s v="2025-01-29"/>
    <s v="Prem"/>
    <x v="6"/>
    <x v="0"/>
    <s v="Accessories"/>
    <x v="1"/>
    <s v="Gujarat"/>
    <s v="Surat"/>
    <x v="3"/>
    <n v="4"/>
    <n v="7920"/>
    <n v="10"/>
    <n v="834.08"/>
  </r>
  <r>
    <s v="AMZ10411"/>
    <x v="70"/>
    <s v="2025-07-03"/>
    <s v="Amit"/>
    <x v="8"/>
    <x v="1"/>
    <s v="Tables"/>
    <x v="0"/>
    <s v="West Bengal"/>
    <s v="Kolkata"/>
    <x v="0"/>
    <n v="4"/>
    <n v="32300"/>
    <n v="5"/>
    <n v="3201.76"/>
  </r>
  <r>
    <s v="AMZ10412"/>
    <x v="244"/>
    <s v="2025-03-13"/>
    <s v="Neha"/>
    <x v="5"/>
    <x v="0"/>
    <s v="Accessories"/>
    <x v="3"/>
    <s v="Delhi"/>
    <s v="New Delhi"/>
    <x v="3"/>
    <n v="5"/>
    <n v="3600"/>
    <n v="20"/>
    <n v="574.28"/>
  </r>
  <r>
    <s v="AMZ10413"/>
    <x v="162"/>
    <s v="2025-01-20"/>
    <s v="Mehul"/>
    <x v="3"/>
    <x v="2"/>
    <s v="Stationery"/>
    <x v="2"/>
    <s v="Karnataka"/>
    <s v="Bengaluru"/>
    <x v="3"/>
    <n v="4"/>
    <n v="1190"/>
    <n v="15"/>
    <n v="249.38"/>
  </r>
  <r>
    <s v="AMZ10414"/>
    <x v="221"/>
    <s v="2025-05-23"/>
    <s v="Karan"/>
    <x v="8"/>
    <x v="1"/>
    <s v="Tables"/>
    <x v="2"/>
    <s v="Tamil Nadu"/>
    <s v="Chennai"/>
    <x v="3"/>
    <n v="3"/>
    <n v="24225"/>
    <n v="5"/>
    <n v="3309.05"/>
  </r>
  <r>
    <s v="AMZ10415"/>
    <x v="245"/>
    <s v="2025-11-09"/>
    <s v="Prem"/>
    <x v="1"/>
    <x v="1"/>
    <s v="Chairs"/>
    <x v="3"/>
    <s v="Punjab"/>
    <s v="Ludhiana"/>
    <x v="2"/>
    <n v="5"/>
    <n v="32500"/>
    <n v="0"/>
    <n v="6039.2"/>
  </r>
  <r>
    <s v="AMZ10416"/>
    <x v="218"/>
    <s v="2025-02-18"/>
    <s v="Sneha"/>
    <x v="8"/>
    <x v="1"/>
    <s v="Tables"/>
    <x v="1"/>
    <s v="Maharashtra"/>
    <s v="Mumbai"/>
    <x v="2"/>
    <n v="2"/>
    <n v="14450"/>
    <n v="15"/>
    <n v="1305.43"/>
  </r>
  <r>
    <s v="AMZ10417"/>
    <x v="154"/>
    <s v="2025-01-19"/>
    <s v="Mehul"/>
    <x v="7"/>
    <x v="3"/>
    <s v="Travel"/>
    <x v="0"/>
    <s v="West Bengal"/>
    <s v="Kolkata"/>
    <x v="3"/>
    <n v="4"/>
    <n v="7200"/>
    <n v="0"/>
    <n v="764.17"/>
  </r>
  <r>
    <s v="AMZ10418"/>
    <x v="127"/>
    <s v="2025-09-23"/>
    <s v="Sneha"/>
    <x v="3"/>
    <x v="2"/>
    <s v="Stationery"/>
    <x v="0"/>
    <s v="West Bengal"/>
    <s v="Kolkata"/>
    <x v="3"/>
    <n v="3"/>
    <n v="892.5"/>
    <n v="15"/>
    <n v="94.85"/>
  </r>
  <r>
    <s v="AMZ10419"/>
    <x v="72"/>
    <s v="2025-12-06"/>
    <s v="Sneha"/>
    <x v="7"/>
    <x v="3"/>
    <s v="Travel"/>
    <x v="2"/>
    <s v="Tamil Nadu"/>
    <s v="Chennai"/>
    <x v="3"/>
    <n v="2"/>
    <n v="3600"/>
    <n v="0"/>
    <n v="312.07"/>
  </r>
  <r>
    <s v="AMZ10420"/>
    <x v="174"/>
    <s v="2025-03-18"/>
    <s v="Priya"/>
    <x v="1"/>
    <x v="1"/>
    <s v="Chairs"/>
    <x v="1"/>
    <s v="Maharashtra"/>
    <s v="Pune"/>
    <x v="2"/>
    <n v="5"/>
    <n v="26000"/>
    <n v="20"/>
    <n v="3437.26"/>
  </r>
  <r>
    <s v="AMZ10421"/>
    <x v="4"/>
    <s v="2025-09-14"/>
    <s v="Prem"/>
    <x v="0"/>
    <x v="0"/>
    <s v="Computers"/>
    <x v="2"/>
    <s v="Tamil Nadu"/>
    <s v="Chennai"/>
    <x v="2"/>
    <n v="2"/>
    <n v="104500"/>
    <n v="5"/>
    <n v="11529.1"/>
  </r>
  <r>
    <s v="AMZ10422"/>
    <x v="227"/>
    <s v="2025-10-09"/>
    <s v="Vikas"/>
    <x v="0"/>
    <x v="0"/>
    <s v="Computers"/>
    <x v="1"/>
    <s v="Maharashtra"/>
    <s v="Mumbai"/>
    <x v="1"/>
    <n v="3"/>
    <n v="156750"/>
    <n v="5"/>
    <n v="23703.58"/>
  </r>
  <r>
    <s v="AMZ10423"/>
    <x v="174"/>
    <s v="2025-03-18"/>
    <s v="Karan"/>
    <x v="8"/>
    <x v="1"/>
    <s v="Tables"/>
    <x v="2"/>
    <s v="Karnataka"/>
    <s v="Bengaluru"/>
    <x v="1"/>
    <n v="1"/>
    <n v="7225"/>
    <n v="15"/>
    <n v="1382.18"/>
  </r>
  <r>
    <s v="AMZ10424"/>
    <x v="246"/>
    <s v="2026-01-01"/>
    <s v="Vikas"/>
    <x v="7"/>
    <x v="3"/>
    <s v="Travel"/>
    <x v="3"/>
    <s v="Delhi"/>
    <s v="New Delhi"/>
    <x v="0"/>
    <n v="2"/>
    <n v="3600"/>
    <n v="0"/>
    <n v="736.02"/>
  </r>
  <r>
    <s v="AMZ10425"/>
    <x v="92"/>
    <s v="2025-05-04"/>
    <s v="Mehul"/>
    <x v="5"/>
    <x v="0"/>
    <s v="Accessories"/>
    <x v="0"/>
    <s v="West Bengal"/>
    <s v="Kolkata"/>
    <x v="1"/>
    <n v="1"/>
    <n v="720"/>
    <n v="20"/>
    <n v="121.66"/>
  </r>
  <r>
    <s v="AMZ10426"/>
    <x v="247"/>
    <s v="2025-06-11"/>
    <s v="Vikas"/>
    <x v="0"/>
    <x v="0"/>
    <s v="Computers"/>
    <x v="2"/>
    <s v="Karnataka"/>
    <s v="Bengaluru"/>
    <x v="1"/>
    <n v="4"/>
    <n v="176000"/>
    <n v="20"/>
    <n v="28170.28"/>
  </r>
  <r>
    <s v="AMZ10427"/>
    <x v="248"/>
    <s v="2025-09-26"/>
    <s v="Karan"/>
    <x v="3"/>
    <x v="2"/>
    <s v="Stationery"/>
    <x v="2"/>
    <s v="Tamil Nadu"/>
    <s v="Chennai"/>
    <x v="1"/>
    <n v="5"/>
    <n v="1487.5"/>
    <n v="15"/>
    <n v="170.33"/>
  </r>
  <r>
    <s v="AMZ10428"/>
    <x v="156"/>
    <s v="2025-01-07"/>
    <s v="Priya"/>
    <x v="0"/>
    <x v="0"/>
    <s v="Computers"/>
    <x v="0"/>
    <s v="Odisha"/>
    <s v="Bhubaneswar"/>
    <x v="0"/>
    <n v="3"/>
    <n v="132000"/>
    <n v="20"/>
    <n v="23303.49"/>
  </r>
  <r>
    <s v="AMZ10429"/>
    <x v="34"/>
    <s v="2025-10-11"/>
    <s v="Mehul"/>
    <x v="9"/>
    <x v="4"/>
    <s v="Kitchen"/>
    <x v="2"/>
    <s v="Tamil Nadu"/>
    <s v="Chennai"/>
    <x v="0"/>
    <n v="5"/>
    <n v="2250"/>
    <n v="0"/>
    <n v="390.32"/>
  </r>
  <r>
    <s v="AMZ10430"/>
    <x v="104"/>
    <s v="2025-02-02"/>
    <s v="Priya"/>
    <x v="6"/>
    <x v="0"/>
    <s v="Accessories"/>
    <x v="2"/>
    <s v="Karnataka"/>
    <s v="Bengaluru"/>
    <x v="1"/>
    <n v="2"/>
    <n v="3960"/>
    <n v="10"/>
    <n v="427.49"/>
  </r>
  <r>
    <s v="AMZ10431"/>
    <x v="169"/>
    <s v="2025-11-21"/>
    <s v="Mehul"/>
    <x v="0"/>
    <x v="0"/>
    <s v="Computers"/>
    <x v="3"/>
    <s v="Delhi"/>
    <s v="New Delhi"/>
    <x v="0"/>
    <n v="1"/>
    <n v="44000"/>
    <n v="20"/>
    <n v="9150.15"/>
  </r>
  <r>
    <s v="AMZ10432"/>
    <x v="249"/>
    <s v="2025-09-16"/>
    <s v="Mehul"/>
    <x v="7"/>
    <x v="3"/>
    <s v="Travel"/>
    <x v="2"/>
    <s v="Tamil Nadu"/>
    <s v="Chennai"/>
    <x v="1"/>
    <n v="4"/>
    <n v="5760"/>
    <n v="20"/>
    <n v="1248.26"/>
  </r>
  <r>
    <s v="AMZ10433"/>
    <x v="62"/>
    <s v="2025-03-31"/>
    <s v="Riya"/>
    <x v="9"/>
    <x v="4"/>
    <s v="Kitchen"/>
    <x v="3"/>
    <s v="Punjab"/>
    <s v="Ludhiana"/>
    <x v="1"/>
    <n v="5"/>
    <n v="1800"/>
    <n v="20"/>
    <n v="292.14"/>
  </r>
  <r>
    <s v="AMZ10434"/>
    <x v="177"/>
    <s v="2025-06-17"/>
    <s v="Priya"/>
    <x v="4"/>
    <x v="0"/>
    <s v="Printers"/>
    <x v="2"/>
    <s v="Karnataka"/>
    <s v="Bengaluru"/>
    <x v="3"/>
    <n v="4"/>
    <n v="40800"/>
    <n v="15"/>
    <n v="8555.9500000000007"/>
  </r>
  <r>
    <s v="AMZ10435"/>
    <x v="250"/>
    <s v="2025-09-04"/>
    <s v="Mehul"/>
    <x v="3"/>
    <x v="2"/>
    <s v="Stationery"/>
    <x v="1"/>
    <s v="Gujarat"/>
    <s v="Surat"/>
    <x v="3"/>
    <n v="2"/>
    <n v="630"/>
    <n v="10"/>
    <n v="53.14"/>
  </r>
  <r>
    <s v="AMZ10436"/>
    <x v="251"/>
    <s v="2025-03-12"/>
    <s v="Prem"/>
    <x v="6"/>
    <x v="0"/>
    <s v="Accessories"/>
    <x v="2"/>
    <s v="Tamil Nadu"/>
    <s v="Chennai"/>
    <x v="0"/>
    <n v="2"/>
    <n v="4400"/>
    <n v="0"/>
    <n v="739.56"/>
  </r>
  <r>
    <s v="AMZ10437"/>
    <x v="233"/>
    <s v="2025-04-27"/>
    <s v="Neha"/>
    <x v="7"/>
    <x v="3"/>
    <s v="Travel"/>
    <x v="2"/>
    <s v="Karnataka"/>
    <s v="Bengaluru"/>
    <x v="2"/>
    <n v="2"/>
    <n v="3240"/>
    <n v="10"/>
    <n v="612.17999999999995"/>
  </r>
  <r>
    <s v="AMZ10438"/>
    <x v="143"/>
    <s v="2025-12-27"/>
    <s v="Neha"/>
    <x v="7"/>
    <x v="3"/>
    <s v="Travel"/>
    <x v="0"/>
    <s v="Odisha"/>
    <s v="Bhubaneswar"/>
    <x v="2"/>
    <n v="3"/>
    <n v="5130"/>
    <n v="5"/>
    <n v="767.61"/>
  </r>
  <r>
    <s v="AMZ10439"/>
    <x v="135"/>
    <s v="2025-08-27"/>
    <s v="Karan"/>
    <x v="6"/>
    <x v="0"/>
    <s v="Accessories"/>
    <x v="3"/>
    <s v="Delhi"/>
    <s v="New Delhi"/>
    <x v="1"/>
    <n v="1"/>
    <n v="2200"/>
    <n v="0"/>
    <n v="292.81"/>
  </r>
  <r>
    <s v="AMZ10440"/>
    <x v="216"/>
    <s v="2025-02-15"/>
    <s v="Neha"/>
    <x v="6"/>
    <x v="0"/>
    <s v="Accessories"/>
    <x v="0"/>
    <s v="Odisha"/>
    <s v="Bhubaneswar"/>
    <x v="0"/>
    <n v="2"/>
    <n v="4180"/>
    <n v="5"/>
    <n v="866.56"/>
  </r>
  <r>
    <s v="AMZ10441"/>
    <x v="65"/>
    <s v="2025-11-28"/>
    <s v="Vikas"/>
    <x v="9"/>
    <x v="4"/>
    <s v="Kitchen"/>
    <x v="2"/>
    <s v="Tamil Nadu"/>
    <s v="Chennai"/>
    <x v="1"/>
    <n v="4"/>
    <n v="1620"/>
    <n v="10"/>
    <n v="278.92"/>
  </r>
  <r>
    <s v="AMZ10442"/>
    <x v="252"/>
    <s v="2025-04-22"/>
    <s v="Mehul"/>
    <x v="9"/>
    <x v="4"/>
    <s v="Kitchen"/>
    <x v="0"/>
    <s v="West Bengal"/>
    <s v="Kolkata"/>
    <x v="1"/>
    <n v="5"/>
    <n v="1800"/>
    <n v="20"/>
    <n v="286.33"/>
  </r>
  <r>
    <s v="AMZ10443"/>
    <x v="4"/>
    <s v="2025-09-14"/>
    <s v="Amit"/>
    <x v="6"/>
    <x v="0"/>
    <s v="Accessories"/>
    <x v="2"/>
    <s v="Karnataka"/>
    <s v="Bengaluru"/>
    <x v="2"/>
    <n v="3"/>
    <n v="6600"/>
    <n v="0"/>
    <n v="1060.96"/>
  </r>
  <r>
    <s v="AMZ10444"/>
    <x v="143"/>
    <s v="2025-12-31"/>
    <s v="Sneha"/>
    <x v="3"/>
    <x v="2"/>
    <s v="Stationery"/>
    <x v="0"/>
    <s v="West Bengal"/>
    <s v="Kolkata"/>
    <x v="0"/>
    <n v="1"/>
    <n v="297.5"/>
    <n v="15"/>
    <n v="42.43"/>
  </r>
  <r>
    <s v="AMZ10445"/>
    <x v="168"/>
    <s v="2025-12-16"/>
    <s v="Prem"/>
    <x v="6"/>
    <x v="0"/>
    <s v="Accessories"/>
    <x v="3"/>
    <s v="Delhi"/>
    <s v="New Delhi"/>
    <x v="3"/>
    <n v="2"/>
    <n v="4400"/>
    <n v="0"/>
    <n v="365.64"/>
  </r>
  <r>
    <s v="AMZ10446"/>
    <x v="74"/>
    <s v="2025-05-22"/>
    <s v="Priya"/>
    <x v="6"/>
    <x v="0"/>
    <s v="Accessories"/>
    <x v="2"/>
    <s v="Tamil Nadu"/>
    <s v="Chennai"/>
    <x v="2"/>
    <n v="3"/>
    <n v="5280"/>
    <n v="20"/>
    <n v="837.75"/>
  </r>
  <r>
    <s v="AMZ10447"/>
    <x v="253"/>
    <s v="2025-04-26"/>
    <s v="Prem"/>
    <x v="2"/>
    <x v="0"/>
    <s v="Accessories"/>
    <x v="2"/>
    <s v="Tamil Nadu"/>
    <s v="Chennai"/>
    <x v="0"/>
    <n v="4"/>
    <n v="5100"/>
    <n v="15"/>
    <n v="1045.93"/>
  </r>
  <r>
    <s v="AMZ10448"/>
    <x v="254"/>
    <s v="2025-07-24"/>
    <s v="Amit"/>
    <x v="6"/>
    <x v="0"/>
    <s v="Accessories"/>
    <x v="2"/>
    <s v="Karnataka"/>
    <s v="Bengaluru"/>
    <x v="2"/>
    <n v="4"/>
    <n v="8800"/>
    <n v="0"/>
    <n v="1857.02"/>
  </r>
  <r>
    <s v="AMZ10449"/>
    <x v="255"/>
    <s v="2025-07-27"/>
    <s v="Priya"/>
    <x v="4"/>
    <x v="0"/>
    <s v="Printers"/>
    <x v="3"/>
    <s v="Delhi"/>
    <s v="New Delhi"/>
    <x v="0"/>
    <n v="3"/>
    <n v="36000"/>
    <n v="0"/>
    <n v="6514.96"/>
  </r>
  <r>
    <s v="AMZ10450"/>
    <x v="71"/>
    <s v="2025-06-12"/>
    <s v="Riya"/>
    <x v="2"/>
    <x v="0"/>
    <s v="Accessories"/>
    <x v="0"/>
    <s v="Odisha"/>
    <s v="Bhubaneswar"/>
    <x v="2"/>
    <n v="5"/>
    <n v="7500"/>
    <n v="0"/>
    <n v="1649.8"/>
  </r>
  <r>
    <s v="AMZ10451"/>
    <x v="188"/>
    <s v="2025-11-18"/>
    <s v="Amit"/>
    <x v="5"/>
    <x v="0"/>
    <s v="Accessories"/>
    <x v="2"/>
    <s v="Tamil Nadu"/>
    <s v="Chennai"/>
    <x v="0"/>
    <n v="4"/>
    <n v="2880"/>
    <n v="20"/>
    <n v="543.74"/>
  </r>
  <r>
    <s v="AMZ10452"/>
    <x v="65"/>
    <s v="2025-11-23"/>
    <s v="Karan"/>
    <x v="2"/>
    <x v="0"/>
    <s v="Accessories"/>
    <x v="3"/>
    <s v="Punjab"/>
    <s v="Ludhiana"/>
    <x v="2"/>
    <n v="3"/>
    <n v="3600"/>
    <n v="20"/>
    <n v="747.32"/>
  </r>
  <r>
    <s v="AMZ10453"/>
    <x v="122"/>
    <s v="2025-12-07"/>
    <s v="Vikas"/>
    <x v="8"/>
    <x v="1"/>
    <s v="Tables"/>
    <x v="0"/>
    <s v="West Bengal"/>
    <s v="Kolkata"/>
    <x v="3"/>
    <n v="2"/>
    <n v="13600"/>
    <n v="20"/>
    <n v="2016.12"/>
  </r>
  <r>
    <s v="AMZ10454"/>
    <x v="18"/>
    <s v="2025-03-19"/>
    <s v="Mehul"/>
    <x v="9"/>
    <x v="4"/>
    <s v="Kitchen"/>
    <x v="0"/>
    <s v="West Bengal"/>
    <s v="Kolkata"/>
    <x v="2"/>
    <n v="5"/>
    <n v="2025"/>
    <n v="10"/>
    <n v="166.26"/>
  </r>
  <r>
    <s v="AMZ10455"/>
    <x v="255"/>
    <s v="2025-07-25"/>
    <s v="Neha"/>
    <x v="5"/>
    <x v="0"/>
    <s v="Accessories"/>
    <x v="0"/>
    <s v="West Bengal"/>
    <s v="Kolkata"/>
    <x v="1"/>
    <n v="2"/>
    <n v="1440"/>
    <n v="20"/>
    <n v="253.53"/>
  </r>
  <r>
    <s v="AMZ10456"/>
    <x v="35"/>
    <s v="2025-11-06"/>
    <s v="Riya"/>
    <x v="2"/>
    <x v="0"/>
    <s v="Accessories"/>
    <x v="3"/>
    <s v="Punjab"/>
    <s v="Ludhiana"/>
    <x v="3"/>
    <n v="4"/>
    <n v="5700"/>
    <n v="5"/>
    <n v="583.34"/>
  </r>
  <r>
    <s v="AMZ10457"/>
    <x v="132"/>
    <s v="2025-04-14"/>
    <s v="Rahul"/>
    <x v="2"/>
    <x v="0"/>
    <s v="Accessories"/>
    <x v="0"/>
    <s v="Odisha"/>
    <s v="Bhubaneswar"/>
    <x v="3"/>
    <n v="4"/>
    <n v="5700"/>
    <n v="5"/>
    <n v="648.58000000000004"/>
  </r>
  <r>
    <s v="AMZ10458"/>
    <x v="226"/>
    <s v="2025-01-27"/>
    <s v="Priya"/>
    <x v="7"/>
    <x v="3"/>
    <s v="Travel"/>
    <x v="3"/>
    <s v="Punjab"/>
    <s v="Ludhiana"/>
    <x v="1"/>
    <n v="2"/>
    <n v="2880"/>
    <n v="20"/>
    <n v="428.34"/>
  </r>
  <r>
    <s v="AMZ10459"/>
    <x v="79"/>
    <s v="2025-07-29"/>
    <s v="Prem"/>
    <x v="8"/>
    <x v="1"/>
    <s v="Tables"/>
    <x v="2"/>
    <s v="Tamil Nadu"/>
    <s v="Chennai"/>
    <x v="0"/>
    <n v="4"/>
    <n v="32300"/>
    <n v="5"/>
    <n v="4294.47"/>
  </r>
  <r>
    <s v="AMZ10460"/>
    <x v="256"/>
    <s v="2025-09-20"/>
    <s v="Karan"/>
    <x v="7"/>
    <x v="3"/>
    <s v="Travel"/>
    <x v="3"/>
    <s v="Punjab"/>
    <s v="Ludhiana"/>
    <x v="3"/>
    <n v="5"/>
    <n v="9000"/>
    <n v="0"/>
    <n v="1846.6"/>
  </r>
  <r>
    <s v="AMZ10461"/>
    <x v="257"/>
    <s v="2025-11-26"/>
    <s v="Mehul"/>
    <x v="8"/>
    <x v="1"/>
    <s v="Tables"/>
    <x v="0"/>
    <s v="West Bengal"/>
    <s v="Kolkata"/>
    <x v="2"/>
    <n v="2"/>
    <n v="14450"/>
    <n v="15"/>
    <n v="2101.2199999999998"/>
  </r>
  <r>
    <s v="AMZ10462"/>
    <x v="86"/>
    <s v="2025-10-13"/>
    <s v="Neha"/>
    <x v="4"/>
    <x v="0"/>
    <s v="Printers"/>
    <x v="2"/>
    <s v="Karnataka"/>
    <s v="Bengaluru"/>
    <x v="0"/>
    <n v="5"/>
    <n v="60000"/>
    <n v="0"/>
    <n v="6368.12"/>
  </r>
  <r>
    <s v="AMZ10463"/>
    <x v="258"/>
    <s v="2025-08-06"/>
    <s v="Rahul"/>
    <x v="1"/>
    <x v="1"/>
    <s v="Chairs"/>
    <x v="0"/>
    <s v="Odisha"/>
    <s v="Bhubaneswar"/>
    <x v="1"/>
    <n v="3"/>
    <n v="17550"/>
    <n v="10"/>
    <n v="1620.15"/>
  </r>
  <r>
    <s v="AMZ10464"/>
    <x v="216"/>
    <s v="2025-02-18"/>
    <s v="Karan"/>
    <x v="1"/>
    <x v="1"/>
    <s v="Chairs"/>
    <x v="0"/>
    <s v="West Bengal"/>
    <s v="Kolkata"/>
    <x v="3"/>
    <n v="4"/>
    <n v="26000"/>
    <n v="0"/>
    <n v="4954.99"/>
  </r>
  <r>
    <s v="AMZ10465"/>
    <x v="259"/>
    <s v="2025-04-22"/>
    <s v="Priya"/>
    <x v="7"/>
    <x v="3"/>
    <s v="Travel"/>
    <x v="0"/>
    <s v="West Bengal"/>
    <s v="Kolkata"/>
    <x v="1"/>
    <n v="4"/>
    <n v="6480"/>
    <n v="10"/>
    <n v="779.78"/>
  </r>
  <r>
    <s v="AMZ10466"/>
    <x v="148"/>
    <s v="2025-06-21"/>
    <s v="Neha"/>
    <x v="3"/>
    <x v="2"/>
    <s v="Stationery"/>
    <x v="0"/>
    <s v="West Bengal"/>
    <s v="Kolkata"/>
    <x v="3"/>
    <n v="4"/>
    <n v="1330"/>
    <n v="5"/>
    <n v="272.58999999999997"/>
  </r>
  <r>
    <s v="AMZ10467"/>
    <x v="233"/>
    <s v="2025-04-30"/>
    <s v="Mehul"/>
    <x v="8"/>
    <x v="1"/>
    <s v="Tables"/>
    <x v="3"/>
    <s v="Delhi"/>
    <s v="New Delhi"/>
    <x v="3"/>
    <n v="3"/>
    <n v="22950"/>
    <n v="10"/>
    <n v="4693.3100000000004"/>
  </r>
  <r>
    <s v="AMZ10468"/>
    <x v="260"/>
    <s v="2025-08-31"/>
    <s v="Riya"/>
    <x v="0"/>
    <x v="0"/>
    <s v="Computers"/>
    <x v="3"/>
    <s v="Delhi"/>
    <s v="New Delhi"/>
    <x v="0"/>
    <n v="2"/>
    <n v="93500"/>
    <n v="15"/>
    <n v="15187.23"/>
  </r>
  <r>
    <s v="AMZ10469"/>
    <x v="217"/>
    <s v="2025-01-14"/>
    <s v="Vikas"/>
    <x v="4"/>
    <x v="0"/>
    <s v="Printers"/>
    <x v="0"/>
    <s v="Odisha"/>
    <s v="Bhubaneswar"/>
    <x v="1"/>
    <n v="3"/>
    <n v="32400"/>
    <n v="10"/>
    <n v="5501.81"/>
  </r>
  <r>
    <s v="AMZ10470"/>
    <x v="247"/>
    <s v="2025-06-10"/>
    <s v="Sneha"/>
    <x v="1"/>
    <x v="1"/>
    <s v="Chairs"/>
    <x v="2"/>
    <s v="Tamil Nadu"/>
    <s v="Chennai"/>
    <x v="3"/>
    <n v="1"/>
    <n v="5525"/>
    <n v="15"/>
    <n v="997.56"/>
  </r>
  <r>
    <s v="AMZ10471"/>
    <x v="238"/>
    <s v="2025-07-09"/>
    <s v="Priya"/>
    <x v="2"/>
    <x v="0"/>
    <s v="Accessories"/>
    <x v="1"/>
    <s v="Gujarat"/>
    <s v="Surat"/>
    <x v="2"/>
    <n v="1"/>
    <n v="1275"/>
    <n v="15"/>
    <n v="249.53"/>
  </r>
  <r>
    <s v="AMZ10472"/>
    <x v="210"/>
    <s v="2025-05-15"/>
    <s v="Riya"/>
    <x v="5"/>
    <x v="0"/>
    <s v="Accessories"/>
    <x v="2"/>
    <s v="Tamil Nadu"/>
    <s v="Chennai"/>
    <x v="1"/>
    <n v="4"/>
    <n v="3420"/>
    <n v="5"/>
    <n v="494.66"/>
  </r>
  <r>
    <s v="AMZ10473"/>
    <x v="261"/>
    <s v="2025-04-03"/>
    <s v="Sneha"/>
    <x v="4"/>
    <x v="0"/>
    <s v="Printers"/>
    <x v="3"/>
    <s v="Punjab"/>
    <s v="Ludhiana"/>
    <x v="3"/>
    <n v="4"/>
    <n v="40800"/>
    <n v="15"/>
    <n v="3638.77"/>
  </r>
  <r>
    <s v="AMZ10474"/>
    <x v="81"/>
    <s v="2025-09-07"/>
    <s v="Vikas"/>
    <x v="8"/>
    <x v="1"/>
    <s v="Tables"/>
    <x v="2"/>
    <s v="Karnataka"/>
    <s v="Bengaluru"/>
    <x v="1"/>
    <n v="5"/>
    <n v="34000"/>
    <n v="20"/>
    <n v="4257.37"/>
  </r>
  <r>
    <s v="AMZ10475"/>
    <x v="257"/>
    <s v="2025-11-29"/>
    <s v="Mehul"/>
    <x v="9"/>
    <x v="4"/>
    <s v="Kitchen"/>
    <x v="2"/>
    <s v="Karnataka"/>
    <s v="Bengaluru"/>
    <x v="3"/>
    <n v="3"/>
    <n v="1080"/>
    <n v="20"/>
    <n v="225.07"/>
  </r>
  <r>
    <s v="AMZ10476"/>
    <x v="127"/>
    <s v="2025-09-18"/>
    <s v="Prem"/>
    <x v="0"/>
    <x v="0"/>
    <s v="Computers"/>
    <x v="2"/>
    <s v="Tamil Nadu"/>
    <s v="Chennai"/>
    <x v="0"/>
    <n v="5"/>
    <n v="233750"/>
    <n v="15"/>
    <n v="33478.559999999998"/>
  </r>
  <r>
    <s v="AMZ10477"/>
    <x v="34"/>
    <s v="2025-10-06"/>
    <s v="Rahul"/>
    <x v="4"/>
    <x v="0"/>
    <s v="Printers"/>
    <x v="0"/>
    <s v="Odisha"/>
    <s v="Bhubaneswar"/>
    <x v="0"/>
    <n v="3"/>
    <n v="32400"/>
    <n v="10"/>
    <n v="3471.16"/>
  </r>
  <r>
    <s v="AMZ10478"/>
    <x v="187"/>
    <s v="2025-08-03"/>
    <s v="Mehul"/>
    <x v="3"/>
    <x v="2"/>
    <s v="Stationery"/>
    <x v="1"/>
    <s v="Gujarat"/>
    <s v="Surat"/>
    <x v="1"/>
    <n v="2"/>
    <n v="560"/>
    <n v="20"/>
    <n v="91.23"/>
  </r>
  <r>
    <s v="AMZ10479"/>
    <x v="187"/>
    <s v="2025-08-02"/>
    <s v="Priya"/>
    <x v="0"/>
    <x v="0"/>
    <s v="Computers"/>
    <x v="1"/>
    <s v="Maharashtra"/>
    <s v="Mumbai"/>
    <x v="3"/>
    <n v="4"/>
    <n v="220000"/>
    <n v="0"/>
    <n v="25117.59"/>
  </r>
  <r>
    <s v="AMZ10480"/>
    <x v="262"/>
    <s v="2025-07-28"/>
    <s v="Riya"/>
    <x v="5"/>
    <x v="0"/>
    <s v="Accessories"/>
    <x v="1"/>
    <s v="Gujarat"/>
    <s v="Surat"/>
    <x v="0"/>
    <n v="3"/>
    <n v="2700"/>
    <n v="0"/>
    <n v="498.7"/>
  </r>
  <r>
    <s v="AMZ10481"/>
    <x v="114"/>
    <s v="2025-03-01"/>
    <s v="Rahul"/>
    <x v="6"/>
    <x v="0"/>
    <s v="Accessories"/>
    <x v="3"/>
    <s v="Punjab"/>
    <s v="Ludhiana"/>
    <x v="0"/>
    <n v="4"/>
    <n v="8360"/>
    <n v="5"/>
    <n v="742.64"/>
  </r>
  <r>
    <s v="AMZ10482"/>
    <x v="6"/>
    <s v="2025-10-24"/>
    <s v="Vikas"/>
    <x v="2"/>
    <x v="0"/>
    <s v="Accessories"/>
    <x v="2"/>
    <s v="Tamil Nadu"/>
    <s v="Chennai"/>
    <x v="2"/>
    <n v="1"/>
    <n v="1425"/>
    <n v="5"/>
    <n v="257.75"/>
  </r>
  <r>
    <s v="AMZ10483"/>
    <x v="141"/>
    <s v="2025-08-07"/>
    <s v="Neha"/>
    <x v="7"/>
    <x v="3"/>
    <s v="Travel"/>
    <x v="2"/>
    <s v="Tamil Nadu"/>
    <s v="Chennai"/>
    <x v="0"/>
    <n v="2"/>
    <n v="3240"/>
    <n v="10"/>
    <n v="378.73"/>
  </r>
  <r>
    <s v="AMZ10484"/>
    <x v="119"/>
    <s v="2025-09-28"/>
    <s v="Neha"/>
    <x v="8"/>
    <x v="1"/>
    <s v="Tables"/>
    <x v="0"/>
    <s v="West Bengal"/>
    <s v="Kolkata"/>
    <x v="1"/>
    <n v="2"/>
    <n v="17000"/>
    <n v="0"/>
    <n v="2496.4699999999998"/>
  </r>
  <r>
    <s v="AMZ10485"/>
    <x v="127"/>
    <s v="2025-09-17"/>
    <s v="Riya"/>
    <x v="6"/>
    <x v="0"/>
    <s v="Accessories"/>
    <x v="0"/>
    <s v="Odisha"/>
    <s v="Bhubaneswar"/>
    <x v="1"/>
    <n v="5"/>
    <n v="9350"/>
    <n v="15"/>
    <n v="1881.24"/>
  </r>
  <r>
    <s v="AMZ10486"/>
    <x v="95"/>
    <s v="2025-11-12"/>
    <s v="Rahul"/>
    <x v="7"/>
    <x v="3"/>
    <s v="Travel"/>
    <x v="0"/>
    <s v="West Bengal"/>
    <s v="Kolkata"/>
    <x v="1"/>
    <n v="1"/>
    <n v="1530"/>
    <n v="15"/>
    <n v="324.61"/>
  </r>
  <r>
    <s v="AMZ10487"/>
    <x v="238"/>
    <s v="2025-07-08"/>
    <s v="Karan"/>
    <x v="5"/>
    <x v="0"/>
    <s v="Accessories"/>
    <x v="3"/>
    <s v="Delhi"/>
    <s v="New Delhi"/>
    <x v="3"/>
    <n v="2"/>
    <n v="1440"/>
    <n v="20"/>
    <n v="177.23"/>
  </r>
  <r>
    <s v="AMZ10488"/>
    <x v="263"/>
    <s v="2025-07-11"/>
    <s v="Amit"/>
    <x v="3"/>
    <x v="2"/>
    <s v="Stationery"/>
    <x v="0"/>
    <s v="West Bengal"/>
    <s v="Kolkata"/>
    <x v="3"/>
    <n v="3"/>
    <n v="892.5"/>
    <n v="15"/>
    <n v="186.34"/>
  </r>
  <r>
    <s v="AMZ10489"/>
    <x v="52"/>
    <s v="2025-02-13"/>
    <s v="Prem"/>
    <x v="7"/>
    <x v="3"/>
    <s v="Travel"/>
    <x v="2"/>
    <s v="Tamil Nadu"/>
    <s v="Chennai"/>
    <x v="2"/>
    <n v="5"/>
    <n v="8550"/>
    <n v="5"/>
    <n v="1508.56"/>
  </r>
  <r>
    <s v="AMZ10490"/>
    <x v="264"/>
    <s v="2025-09-04"/>
    <s v="Rahul"/>
    <x v="6"/>
    <x v="0"/>
    <s v="Accessories"/>
    <x v="0"/>
    <s v="Odisha"/>
    <s v="Bhubaneswar"/>
    <x v="0"/>
    <n v="1"/>
    <n v="1980"/>
    <n v="10"/>
    <n v="252.23"/>
  </r>
  <r>
    <s v="AMZ10491"/>
    <x v="127"/>
    <s v="2025-09-19"/>
    <s v="Rahul"/>
    <x v="7"/>
    <x v="3"/>
    <s v="Travel"/>
    <x v="2"/>
    <s v="Tamil Nadu"/>
    <s v="Chennai"/>
    <x v="0"/>
    <n v="3"/>
    <n v="5400"/>
    <n v="0"/>
    <n v="488.77"/>
  </r>
  <r>
    <s v="AMZ10492"/>
    <x v="49"/>
    <s v="2025-02-17"/>
    <s v="Prem"/>
    <x v="5"/>
    <x v="0"/>
    <s v="Accessories"/>
    <x v="1"/>
    <s v="Maharashtra"/>
    <s v="Mumbai"/>
    <x v="0"/>
    <n v="5"/>
    <n v="4050"/>
    <n v="10"/>
    <n v="628.22"/>
  </r>
  <r>
    <s v="AMZ10493"/>
    <x v="170"/>
    <s v="2025-04-07"/>
    <s v="Vikas"/>
    <x v="2"/>
    <x v="0"/>
    <s v="Accessories"/>
    <x v="3"/>
    <s v="Delhi"/>
    <s v="New Delhi"/>
    <x v="2"/>
    <n v="3"/>
    <n v="4500"/>
    <n v="0"/>
    <n v="417.75"/>
  </r>
  <r>
    <s v="AMZ10494"/>
    <x v="265"/>
    <s v="2025-11-19"/>
    <s v="Priya"/>
    <x v="4"/>
    <x v="0"/>
    <s v="Printers"/>
    <x v="3"/>
    <s v="Delhi"/>
    <s v="New Delhi"/>
    <x v="0"/>
    <n v="3"/>
    <n v="28800"/>
    <n v="20"/>
    <n v="2453.56"/>
  </r>
  <r>
    <s v="AMZ10495"/>
    <x v="156"/>
    <s v="2025-01-05"/>
    <s v="Vikas"/>
    <x v="2"/>
    <x v="0"/>
    <s v="Accessories"/>
    <x v="1"/>
    <s v="Maharashtra"/>
    <s v="Mumbai"/>
    <x v="1"/>
    <n v="2"/>
    <n v="2550"/>
    <n v="15"/>
    <n v="283.45"/>
  </r>
  <r>
    <s v="AMZ10496"/>
    <x v="191"/>
    <s v="2025-12-16"/>
    <s v="Vikas"/>
    <x v="1"/>
    <x v="1"/>
    <s v="Chairs"/>
    <x v="3"/>
    <s v="Delhi"/>
    <s v="New Delhi"/>
    <x v="1"/>
    <n v="3"/>
    <n v="17550"/>
    <n v="10"/>
    <n v="1868.04"/>
  </r>
  <r>
    <s v="AMZ10497"/>
    <x v="266"/>
    <s v="2025-03-17"/>
    <s v="Prem"/>
    <x v="5"/>
    <x v="0"/>
    <s v="Accessories"/>
    <x v="3"/>
    <s v="Delhi"/>
    <s v="New Delhi"/>
    <x v="2"/>
    <n v="3"/>
    <n v="2160"/>
    <n v="20"/>
    <n v="219.68"/>
  </r>
  <r>
    <s v="AMZ10498"/>
    <x v="197"/>
    <s v="2025-05-25"/>
    <s v="Priya"/>
    <x v="4"/>
    <x v="0"/>
    <s v="Printers"/>
    <x v="2"/>
    <s v="Tamil Nadu"/>
    <s v="Chennai"/>
    <x v="0"/>
    <n v="4"/>
    <n v="40800"/>
    <n v="15"/>
    <n v="7845.44"/>
  </r>
  <r>
    <s v="AMZ10499"/>
    <x v="267"/>
    <s v="2025-03-09"/>
    <s v="Vikas"/>
    <x v="8"/>
    <x v="1"/>
    <s v="Tables"/>
    <x v="2"/>
    <s v="Tamil Nadu"/>
    <s v="Chennai"/>
    <x v="1"/>
    <n v="3"/>
    <n v="20400"/>
    <n v="20"/>
    <n v="1693.17"/>
  </r>
  <r>
    <s v="AMZ10500"/>
    <x v="268"/>
    <s v="2025-07-23"/>
    <s v="Mehul"/>
    <x v="0"/>
    <x v="0"/>
    <s v="Computers"/>
    <x v="2"/>
    <s v="Tamil Nadu"/>
    <s v="Chennai"/>
    <x v="0"/>
    <n v="2"/>
    <n v="110000"/>
    <n v="0"/>
    <n v="22008.03"/>
  </r>
  <r>
    <s v="AMZ10501"/>
    <x v="185"/>
    <s v="2025-01-11"/>
    <s v="Sneha"/>
    <x v="0"/>
    <x v="0"/>
    <s v="Computers"/>
    <x v="0"/>
    <s v="West Bengal"/>
    <s v="Kolkata"/>
    <x v="2"/>
    <n v="3"/>
    <n v="165000"/>
    <n v="0"/>
    <n v="16321.51"/>
  </r>
  <r>
    <s v="AMZ10502"/>
    <x v="269"/>
    <s v="2025-08-03"/>
    <s v="Rahul"/>
    <x v="8"/>
    <x v="1"/>
    <s v="Tables"/>
    <x v="1"/>
    <s v="Maharashtra"/>
    <s v="Mumbai"/>
    <x v="1"/>
    <n v="3"/>
    <n v="20400"/>
    <n v="20"/>
    <n v="3532.34"/>
  </r>
  <r>
    <s v="AMZ10503"/>
    <x v="227"/>
    <s v="2025-10-05"/>
    <s v="Priya"/>
    <x v="7"/>
    <x v="3"/>
    <s v="Travel"/>
    <x v="1"/>
    <s v="Maharashtra"/>
    <s v="Mumbai"/>
    <x v="0"/>
    <n v="1"/>
    <n v="1530"/>
    <n v="15"/>
    <n v="232.34"/>
  </r>
  <r>
    <s v="AMZ10504"/>
    <x v="270"/>
    <s v="2025-01-15"/>
    <s v="Vikas"/>
    <x v="7"/>
    <x v="3"/>
    <s v="Travel"/>
    <x v="0"/>
    <s v="West Bengal"/>
    <s v="Kolkata"/>
    <x v="3"/>
    <n v="3"/>
    <n v="5130"/>
    <n v="5"/>
    <n v="668.99"/>
  </r>
  <r>
    <s v="AMZ10505"/>
    <x v="75"/>
    <s v="2025-05-07"/>
    <s v="Sneha"/>
    <x v="6"/>
    <x v="0"/>
    <s v="Accessories"/>
    <x v="2"/>
    <s v="Karnataka"/>
    <s v="Bengaluru"/>
    <x v="3"/>
    <n v="4"/>
    <n v="8360"/>
    <n v="5"/>
    <n v="699.47"/>
  </r>
  <r>
    <s v="AMZ10506"/>
    <x v="193"/>
    <s v="2025-10-18"/>
    <s v="Mehul"/>
    <x v="0"/>
    <x v="0"/>
    <s v="Computers"/>
    <x v="2"/>
    <s v="Karnataka"/>
    <s v="Bengaluru"/>
    <x v="3"/>
    <n v="4"/>
    <n v="220000"/>
    <n v="0"/>
    <n v="19588.46"/>
  </r>
  <r>
    <s v="AMZ10507"/>
    <x v="189"/>
    <s v="2025-11-25"/>
    <s v="Vikas"/>
    <x v="9"/>
    <x v="4"/>
    <s v="Kitchen"/>
    <x v="1"/>
    <s v="Maharashtra"/>
    <s v="Pune"/>
    <x v="2"/>
    <n v="3"/>
    <n v="1215"/>
    <n v="10"/>
    <n v="154.13"/>
  </r>
  <r>
    <s v="AMZ10508"/>
    <x v="266"/>
    <s v="2025-03-16"/>
    <s v="Mehul"/>
    <x v="9"/>
    <x v="4"/>
    <s v="Kitchen"/>
    <x v="2"/>
    <s v="Karnataka"/>
    <s v="Bengaluru"/>
    <x v="3"/>
    <n v="2"/>
    <n v="765"/>
    <n v="15"/>
    <n v="62.57"/>
  </r>
  <r>
    <s v="AMZ10509"/>
    <x v="252"/>
    <s v="2025-04-21"/>
    <s v="Riya"/>
    <x v="7"/>
    <x v="3"/>
    <s v="Travel"/>
    <x v="2"/>
    <s v="Tamil Nadu"/>
    <s v="Chennai"/>
    <x v="0"/>
    <n v="2"/>
    <n v="3420"/>
    <n v="5"/>
    <n v="607.45000000000005"/>
  </r>
  <r>
    <s v="AMZ10510"/>
    <x v="271"/>
    <s v="2025-06-17"/>
    <s v="Rahul"/>
    <x v="9"/>
    <x v="4"/>
    <s v="Kitchen"/>
    <x v="0"/>
    <s v="West Bengal"/>
    <s v="Kolkata"/>
    <x v="3"/>
    <n v="3"/>
    <n v="1282.5"/>
    <n v="5"/>
    <n v="160.91"/>
  </r>
  <r>
    <s v="AMZ10511"/>
    <x v="155"/>
    <s v="2025-07-07"/>
    <s v="Priya"/>
    <x v="7"/>
    <x v="3"/>
    <s v="Travel"/>
    <x v="1"/>
    <s v="Maharashtra"/>
    <s v="Mumbai"/>
    <x v="1"/>
    <n v="3"/>
    <n v="5400"/>
    <n v="0"/>
    <n v="609.91999999999996"/>
  </r>
  <r>
    <s v="AMZ10512"/>
    <x v="272"/>
    <s v="2025-05-02"/>
    <s v="Karan"/>
    <x v="6"/>
    <x v="0"/>
    <s v="Accessories"/>
    <x v="2"/>
    <s v="Tamil Nadu"/>
    <s v="Chennai"/>
    <x v="2"/>
    <n v="4"/>
    <n v="7480"/>
    <n v="15"/>
    <n v="1246.45"/>
  </r>
  <r>
    <s v="AMZ10513"/>
    <x v="273"/>
    <s v="2025-02-11"/>
    <s v="Amit"/>
    <x v="6"/>
    <x v="0"/>
    <s v="Accessories"/>
    <x v="0"/>
    <s v="West Bengal"/>
    <s v="Kolkata"/>
    <x v="0"/>
    <n v="4"/>
    <n v="8800"/>
    <n v="0"/>
    <n v="1894.39"/>
  </r>
  <r>
    <s v="AMZ10514"/>
    <x v="43"/>
    <s v="2025-04-25"/>
    <s v="Neha"/>
    <x v="9"/>
    <x v="4"/>
    <s v="Kitchen"/>
    <x v="0"/>
    <s v="Odisha"/>
    <s v="Bhubaneswar"/>
    <x v="0"/>
    <n v="4"/>
    <n v="1440"/>
    <n v="20"/>
    <n v="238.31"/>
  </r>
  <r>
    <s v="AMZ10515"/>
    <x v="232"/>
    <s v="2025-11-04"/>
    <s v="Prem"/>
    <x v="8"/>
    <x v="1"/>
    <s v="Tables"/>
    <x v="1"/>
    <s v="Maharashtra"/>
    <s v="Pune"/>
    <x v="0"/>
    <n v="2"/>
    <n v="15300"/>
    <n v="10"/>
    <n v="2353.42"/>
  </r>
  <r>
    <s v="AMZ10516"/>
    <x v="274"/>
    <s v="2025-09-30"/>
    <s v="Rahul"/>
    <x v="4"/>
    <x v="0"/>
    <s v="Printers"/>
    <x v="2"/>
    <s v="Tamil Nadu"/>
    <s v="Chennai"/>
    <x v="1"/>
    <n v="2"/>
    <n v="19200"/>
    <n v="20"/>
    <n v="3862.98"/>
  </r>
  <r>
    <s v="AMZ10517"/>
    <x v="275"/>
    <s v="2025-10-30"/>
    <s v="Sneha"/>
    <x v="9"/>
    <x v="4"/>
    <s v="Kitchen"/>
    <x v="2"/>
    <s v="Tamil Nadu"/>
    <s v="Chennai"/>
    <x v="1"/>
    <n v="4"/>
    <n v="1440"/>
    <n v="20"/>
    <n v="259.82"/>
  </r>
  <r>
    <s v="AMZ10518"/>
    <x v="219"/>
    <s v="2025-02-28"/>
    <s v="Neha"/>
    <x v="3"/>
    <x v="2"/>
    <s v="Stationery"/>
    <x v="1"/>
    <s v="Maharashtra"/>
    <s v="Pune"/>
    <x v="1"/>
    <n v="2"/>
    <n v="595"/>
    <n v="15"/>
    <n v="104.96"/>
  </r>
  <r>
    <s v="AMZ10519"/>
    <x v="204"/>
    <s v="2025-02-20"/>
    <s v="Rahul"/>
    <x v="4"/>
    <x v="0"/>
    <s v="Printers"/>
    <x v="2"/>
    <s v="Karnataka"/>
    <s v="Bengaluru"/>
    <x v="3"/>
    <n v="2"/>
    <n v="22800"/>
    <n v="5"/>
    <n v="3312.71"/>
  </r>
  <r>
    <s v="AMZ10520"/>
    <x v="70"/>
    <s v="2025-06-29"/>
    <s v="Mehul"/>
    <x v="4"/>
    <x v="0"/>
    <s v="Printers"/>
    <x v="3"/>
    <s v="Punjab"/>
    <s v="Ludhiana"/>
    <x v="0"/>
    <n v="3"/>
    <n v="30600"/>
    <n v="15"/>
    <n v="6383.48"/>
  </r>
  <r>
    <s v="AMZ10521"/>
    <x v="276"/>
    <s v="2025-09-14"/>
    <s v="Prem"/>
    <x v="4"/>
    <x v="0"/>
    <s v="Printers"/>
    <x v="0"/>
    <s v="West Bengal"/>
    <s v="Kolkata"/>
    <x v="0"/>
    <n v="5"/>
    <n v="57000"/>
    <n v="5"/>
    <n v="11169.68"/>
  </r>
  <r>
    <s v="AMZ10522"/>
    <x v="277"/>
    <s v="2025-03-09"/>
    <s v="Neha"/>
    <x v="2"/>
    <x v="0"/>
    <s v="Accessories"/>
    <x v="3"/>
    <s v="Punjab"/>
    <s v="Ludhiana"/>
    <x v="1"/>
    <n v="2"/>
    <n v="2400"/>
    <n v="20"/>
    <n v="283.17"/>
  </r>
  <r>
    <s v="AMZ10523"/>
    <x v="278"/>
    <s v="2025-12-07"/>
    <s v="Vikas"/>
    <x v="4"/>
    <x v="0"/>
    <s v="Printers"/>
    <x v="2"/>
    <s v="Karnataka"/>
    <s v="Bengaluru"/>
    <x v="1"/>
    <n v="3"/>
    <n v="28800"/>
    <n v="20"/>
    <n v="5702.51"/>
  </r>
  <r>
    <s v="AMZ10524"/>
    <x v="279"/>
    <s v="2025-02-04"/>
    <s v="Prem"/>
    <x v="5"/>
    <x v="0"/>
    <s v="Accessories"/>
    <x v="1"/>
    <s v="Maharashtra"/>
    <s v="Pune"/>
    <x v="3"/>
    <n v="2"/>
    <n v="1530"/>
    <n v="15"/>
    <n v="276.77"/>
  </r>
  <r>
    <s v="AMZ10525"/>
    <x v="55"/>
    <s v="2025-05-26"/>
    <s v="Riya"/>
    <x v="3"/>
    <x v="2"/>
    <s v="Stationery"/>
    <x v="1"/>
    <s v="Gujarat"/>
    <s v="Surat"/>
    <x v="3"/>
    <n v="4"/>
    <n v="1330"/>
    <n v="5"/>
    <n v="235.71"/>
  </r>
  <r>
    <s v="AMZ10526"/>
    <x v="124"/>
    <s v="2025-11-12"/>
    <s v="Mehul"/>
    <x v="2"/>
    <x v="0"/>
    <s v="Accessories"/>
    <x v="3"/>
    <s v="Delhi"/>
    <s v="New Delhi"/>
    <x v="2"/>
    <n v="1"/>
    <n v="1425"/>
    <n v="5"/>
    <n v="121.41"/>
  </r>
  <r>
    <s v="AMZ10527"/>
    <x v="228"/>
    <s v="2025-01-23"/>
    <s v="Karan"/>
    <x v="7"/>
    <x v="3"/>
    <s v="Travel"/>
    <x v="3"/>
    <s v="Delhi"/>
    <s v="New Delhi"/>
    <x v="1"/>
    <n v="3"/>
    <n v="5130"/>
    <n v="5"/>
    <n v="659.59"/>
  </r>
  <r>
    <s v="AMZ10528"/>
    <x v="251"/>
    <s v="2025-03-09"/>
    <s v="Priya"/>
    <x v="9"/>
    <x v="4"/>
    <s v="Kitchen"/>
    <x v="3"/>
    <s v="Delhi"/>
    <s v="New Delhi"/>
    <x v="2"/>
    <n v="3"/>
    <n v="1350"/>
    <n v="0"/>
    <n v="201.77"/>
  </r>
  <r>
    <s v="AMZ10529"/>
    <x v="280"/>
    <s v="2025-12-18"/>
    <s v="Prem"/>
    <x v="0"/>
    <x v="0"/>
    <s v="Computers"/>
    <x v="3"/>
    <s v="Punjab"/>
    <s v="Ludhiana"/>
    <x v="0"/>
    <n v="2"/>
    <n v="88000"/>
    <n v="20"/>
    <n v="8988.48"/>
  </r>
  <r>
    <s v="AMZ10530"/>
    <x v="263"/>
    <s v="2025-07-07"/>
    <s v="Neha"/>
    <x v="0"/>
    <x v="0"/>
    <s v="Computers"/>
    <x v="2"/>
    <s v="Tamil Nadu"/>
    <s v="Chennai"/>
    <x v="0"/>
    <n v="1"/>
    <n v="49500"/>
    <n v="10"/>
    <n v="4542.1400000000003"/>
  </r>
  <r>
    <s v="AMZ10531"/>
    <x v="181"/>
    <s v="2025-08-26"/>
    <s v="Karan"/>
    <x v="1"/>
    <x v="1"/>
    <s v="Chairs"/>
    <x v="0"/>
    <s v="Odisha"/>
    <s v="Bhubaneswar"/>
    <x v="1"/>
    <n v="5"/>
    <n v="27625"/>
    <n v="15"/>
    <n v="3612.37"/>
  </r>
  <r>
    <s v="AMZ10532"/>
    <x v="156"/>
    <s v="2025-01-03"/>
    <s v="Karan"/>
    <x v="3"/>
    <x v="2"/>
    <s v="Stationery"/>
    <x v="2"/>
    <s v="Tamil Nadu"/>
    <s v="Chennai"/>
    <x v="0"/>
    <n v="5"/>
    <n v="1662.5"/>
    <n v="5"/>
    <n v="232.56"/>
  </r>
  <r>
    <s v="AMZ10533"/>
    <x v="281"/>
    <s v="2025-01-23"/>
    <s v="Mehul"/>
    <x v="5"/>
    <x v="0"/>
    <s v="Accessories"/>
    <x v="3"/>
    <s v="Delhi"/>
    <s v="New Delhi"/>
    <x v="3"/>
    <n v="1"/>
    <n v="900"/>
    <n v="0"/>
    <n v="180.6"/>
  </r>
  <r>
    <s v="AMZ10534"/>
    <x v="261"/>
    <s v="2025-04-06"/>
    <s v="Priya"/>
    <x v="4"/>
    <x v="0"/>
    <s v="Printers"/>
    <x v="0"/>
    <s v="Odisha"/>
    <s v="Bhubaneswar"/>
    <x v="1"/>
    <n v="5"/>
    <n v="54000"/>
    <n v="10"/>
    <n v="5014.2"/>
  </r>
  <r>
    <s v="AMZ10535"/>
    <x v="62"/>
    <s v="2025-04-03"/>
    <s v="Sneha"/>
    <x v="6"/>
    <x v="0"/>
    <s v="Accessories"/>
    <x v="2"/>
    <s v="Karnataka"/>
    <s v="Bengaluru"/>
    <x v="1"/>
    <n v="5"/>
    <n v="9900"/>
    <n v="10"/>
    <n v="902.15"/>
  </r>
  <r>
    <s v="AMZ10536"/>
    <x v="258"/>
    <s v="2025-08-07"/>
    <s v="Rahul"/>
    <x v="3"/>
    <x v="2"/>
    <s v="Stationery"/>
    <x v="1"/>
    <s v="Maharashtra"/>
    <s v="Mumbai"/>
    <x v="0"/>
    <n v="2"/>
    <n v="630"/>
    <n v="10"/>
    <n v="76.510000000000005"/>
  </r>
  <r>
    <s v="AMZ10537"/>
    <x v="147"/>
    <s v="2025-11-28"/>
    <s v="Karan"/>
    <x v="5"/>
    <x v="0"/>
    <s v="Accessories"/>
    <x v="0"/>
    <s v="West Bengal"/>
    <s v="Kolkata"/>
    <x v="0"/>
    <n v="2"/>
    <n v="1530"/>
    <n v="15"/>
    <n v="168.16"/>
  </r>
  <r>
    <s v="AMZ10538"/>
    <x v="60"/>
    <s v="2025-06-16"/>
    <s v="Priya"/>
    <x v="9"/>
    <x v="4"/>
    <s v="Kitchen"/>
    <x v="1"/>
    <s v="Maharashtra"/>
    <s v="Pune"/>
    <x v="2"/>
    <n v="2"/>
    <n v="855"/>
    <n v="5"/>
    <n v="131.29"/>
  </r>
  <r>
    <s v="AMZ10539"/>
    <x v="282"/>
    <s v="2025-06-20"/>
    <s v="Neha"/>
    <x v="8"/>
    <x v="1"/>
    <s v="Tables"/>
    <x v="2"/>
    <s v="Karnataka"/>
    <s v="Bengaluru"/>
    <x v="1"/>
    <n v="5"/>
    <n v="38250"/>
    <n v="10"/>
    <n v="6105.06"/>
  </r>
  <r>
    <s v="AMZ10540"/>
    <x v="236"/>
    <s v="2025-10-04"/>
    <s v="Neha"/>
    <x v="6"/>
    <x v="0"/>
    <s v="Accessories"/>
    <x v="1"/>
    <s v="Maharashtra"/>
    <s v="Mumbai"/>
    <x v="2"/>
    <n v="2"/>
    <n v="4180"/>
    <n v="5"/>
    <n v="765.53"/>
  </r>
  <r>
    <s v="AMZ10541"/>
    <x v="171"/>
    <s v="2025-12-21"/>
    <s v="Vikas"/>
    <x v="0"/>
    <x v="0"/>
    <s v="Computers"/>
    <x v="0"/>
    <s v="Odisha"/>
    <s v="Bhubaneswar"/>
    <x v="1"/>
    <n v="1"/>
    <n v="46750"/>
    <n v="15"/>
    <n v="3793.92"/>
  </r>
  <r>
    <s v="AMZ10542"/>
    <x v="173"/>
    <s v="2025-04-30"/>
    <s v="Prem"/>
    <x v="0"/>
    <x v="0"/>
    <s v="Computers"/>
    <x v="3"/>
    <s v="Delhi"/>
    <s v="New Delhi"/>
    <x v="2"/>
    <n v="3"/>
    <n v="165000"/>
    <n v="0"/>
    <n v="14785.31"/>
  </r>
  <r>
    <s v="AMZ10543"/>
    <x v="105"/>
    <s v="2026-01-03"/>
    <s v="Rahul"/>
    <x v="7"/>
    <x v="3"/>
    <s v="Travel"/>
    <x v="3"/>
    <s v="Punjab"/>
    <s v="Ludhiana"/>
    <x v="1"/>
    <n v="4"/>
    <n v="5760"/>
    <n v="20"/>
    <n v="1180.75"/>
  </r>
  <r>
    <s v="AMZ10544"/>
    <x v="33"/>
    <s v="2025-12-04"/>
    <s v="Vikas"/>
    <x v="9"/>
    <x v="4"/>
    <s v="Kitchen"/>
    <x v="1"/>
    <s v="Gujarat"/>
    <s v="Surat"/>
    <x v="3"/>
    <n v="1"/>
    <n v="382.5"/>
    <n v="15"/>
    <n v="34.92"/>
  </r>
  <r>
    <s v="AMZ10545"/>
    <x v="136"/>
    <s v="2025-04-28"/>
    <s v="Sneha"/>
    <x v="6"/>
    <x v="0"/>
    <s v="Accessories"/>
    <x v="3"/>
    <s v="Punjab"/>
    <s v="Ludhiana"/>
    <x v="2"/>
    <n v="1"/>
    <n v="2090"/>
    <n v="5"/>
    <n v="427.34"/>
  </r>
  <r>
    <s v="AMZ10546"/>
    <x v="5"/>
    <s v="2025-12-20"/>
    <s v="Rahul"/>
    <x v="4"/>
    <x v="0"/>
    <s v="Printers"/>
    <x v="3"/>
    <s v="Punjab"/>
    <s v="Ludhiana"/>
    <x v="1"/>
    <n v="1"/>
    <n v="10200"/>
    <n v="15"/>
    <n v="2102.4499999999998"/>
  </r>
  <r>
    <s v="AMZ10547"/>
    <x v="170"/>
    <s v="2025-04-10"/>
    <s v="Prem"/>
    <x v="3"/>
    <x v="2"/>
    <s v="Stationery"/>
    <x v="3"/>
    <s v="Punjab"/>
    <s v="Ludhiana"/>
    <x v="3"/>
    <n v="2"/>
    <n v="700"/>
    <n v="0"/>
    <n v="112.16"/>
  </r>
  <r>
    <s v="AMZ10548"/>
    <x v="237"/>
    <s v="2025-10-10"/>
    <s v="Karan"/>
    <x v="5"/>
    <x v="0"/>
    <s v="Accessories"/>
    <x v="2"/>
    <s v="Karnataka"/>
    <s v="Bengaluru"/>
    <x v="2"/>
    <n v="2"/>
    <n v="1620"/>
    <n v="10"/>
    <n v="347.88"/>
  </r>
  <r>
    <s v="AMZ10549"/>
    <x v="2"/>
    <s v="2025-02-05"/>
    <s v="Vikas"/>
    <x v="3"/>
    <x v="2"/>
    <s v="Stationery"/>
    <x v="3"/>
    <s v="Punjab"/>
    <s v="Ludhiana"/>
    <x v="1"/>
    <n v="4"/>
    <n v="1260"/>
    <n v="10"/>
    <n v="182.9"/>
  </r>
  <r>
    <s v="AMZ10550"/>
    <x v="283"/>
    <s v="2025-04-01"/>
    <s v="Amit"/>
    <x v="9"/>
    <x v="4"/>
    <s v="Kitchen"/>
    <x v="0"/>
    <s v="West Bengal"/>
    <s v="Kolkata"/>
    <x v="3"/>
    <n v="5"/>
    <n v="1912.5"/>
    <n v="15"/>
    <n v="205.23"/>
  </r>
  <r>
    <s v="AMZ10551"/>
    <x v="256"/>
    <s v="2025-09-22"/>
    <s v="Neha"/>
    <x v="6"/>
    <x v="0"/>
    <s v="Accessories"/>
    <x v="1"/>
    <s v="Maharashtra"/>
    <s v="Pune"/>
    <x v="1"/>
    <n v="4"/>
    <n v="8360"/>
    <n v="5"/>
    <n v="851.72"/>
  </r>
  <r>
    <s v="AMZ10552"/>
    <x v="257"/>
    <s v="2025-11-28"/>
    <s v="Karan"/>
    <x v="3"/>
    <x v="2"/>
    <s v="Stationery"/>
    <x v="2"/>
    <s v="Tamil Nadu"/>
    <s v="Chennai"/>
    <x v="0"/>
    <n v="2"/>
    <n v="630"/>
    <n v="10"/>
    <n v="69.23"/>
  </r>
  <r>
    <s v="AMZ10553"/>
    <x v="92"/>
    <s v="2025-04-30"/>
    <s v="Riya"/>
    <x v="6"/>
    <x v="0"/>
    <s v="Accessories"/>
    <x v="3"/>
    <s v="Punjab"/>
    <s v="Ludhiana"/>
    <x v="3"/>
    <n v="4"/>
    <n v="7920"/>
    <n v="10"/>
    <n v="1385.22"/>
  </r>
  <r>
    <s v="AMZ10554"/>
    <x v="258"/>
    <s v="2025-08-09"/>
    <s v="Mehul"/>
    <x v="1"/>
    <x v="1"/>
    <s v="Chairs"/>
    <x v="0"/>
    <s v="Odisha"/>
    <s v="Bhubaneswar"/>
    <x v="0"/>
    <n v="4"/>
    <n v="26000"/>
    <n v="0"/>
    <n v="3777.75"/>
  </r>
  <r>
    <s v="AMZ10555"/>
    <x v="283"/>
    <s v="2025-03-31"/>
    <s v="Priya"/>
    <x v="5"/>
    <x v="0"/>
    <s v="Accessories"/>
    <x v="0"/>
    <s v="West Bengal"/>
    <s v="Kolkata"/>
    <x v="3"/>
    <n v="3"/>
    <n v="2565"/>
    <n v="5"/>
    <n v="533.25"/>
  </r>
  <r>
    <s v="AMZ10556"/>
    <x v="75"/>
    <s v="2025-05-05"/>
    <s v="Amit"/>
    <x v="8"/>
    <x v="1"/>
    <s v="Tables"/>
    <x v="2"/>
    <s v="Tamil Nadu"/>
    <s v="Chennai"/>
    <x v="2"/>
    <n v="2"/>
    <n v="17000"/>
    <n v="0"/>
    <n v="1862.41"/>
  </r>
  <r>
    <s v="AMZ10557"/>
    <x v="283"/>
    <s v="2025-04-03"/>
    <s v="Rahul"/>
    <x v="4"/>
    <x v="0"/>
    <s v="Printers"/>
    <x v="3"/>
    <s v="Delhi"/>
    <s v="New Delhi"/>
    <x v="0"/>
    <n v="2"/>
    <n v="22800"/>
    <n v="5"/>
    <n v="3219.33"/>
  </r>
  <r>
    <s v="AMZ10558"/>
    <x v="178"/>
    <s v="2025-02-02"/>
    <s v="Priya"/>
    <x v="4"/>
    <x v="0"/>
    <s v="Printers"/>
    <x v="2"/>
    <s v="Karnataka"/>
    <s v="Bengaluru"/>
    <x v="3"/>
    <n v="2"/>
    <n v="20400"/>
    <n v="15"/>
    <n v="3322.76"/>
  </r>
  <r>
    <s v="AMZ10559"/>
    <x v="239"/>
    <s v="2025-06-03"/>
    <s v="Riya"/>
    <x v="6"/>
    <x v="0"/>
    <s v="Accessories"/>
    <x v="3"/>
    <s v="Punjab"/>
    <s v="Ludhiana"/>
    <x v="3"/>
    <n v="3"/>
    <n v="5940"/>
    <n v="10"/>
    <n v="1021.98"/>
  </r>
  <r>
    <s v="AMZ10560"/>
    <x v="114"/>
    <s v="2025-02-28"/>
    <s v="Neha"/>
    <x v="7"/>
    <x v="3"/>
    <s v="Travel"/>
    <x v="1"/>
    <s v="Maharashtra"/>
    <s v="Pune"/>
    <x v="1"/>
    <n v="2"/>
    <n v="3060"/>
    <n v="15"/>
    <n v="668.03"/>
  </r>
  <r>
    <s v="AMZ10561"/>
    <x v="150"/>
    <s v="2025-11-29"/>
    <s v="Amit"/>
    <x v="1"/>
    <x v="1"/>
    <s v="Chairs"/>
    <x v="1"/>
    <s v="Maharashtra"/>
    <s v="Pune"/>
    <x v="0"/>
    <n v="2"/>
    <n v="10400"/>
    <n v="20"/>
    <n v="988.06"/>
  </r>
  <r>
    <s v="AMZ10562"/>
    <x v="34"/>
    <s v="2025-10-10"/>
    <s v="Rahul"/>
    <x v="8"/>
    <x v="1"/>
    <s v="Tables"/>
    <x v="0"/>
    <s v="Odisha"/>
    <s v="Bhubaneswar"/>
    <x v="1"/>
    <n v="5"/>
    <n v="34000"/>
    <n v="20"/>
    <n v="5378.34"/>
  </r>
  <r>
    <s v="AMZ10563"/>
    <x v="51"/>
    <s v="2025-06-11"/>
    <s v="Prem"/>
    <x v="9"/>
    <x v="4"/>
    <s v="Kitchen"/>
    <x v="3"/>
    <s v="Delhi"/>
    <s v="New Delhi"/>
    <x v="2"/>
    <n v="4"/>
    <n v="1530"/>
    <n v="15"/>
    <n v="307.74"/>
  </r>
  <r>
    <s v="AMZ10564"/>
    <x v="67"/>
    <s v="2025-04-09"/>
    <s v="Amit"/>
    <x v="4"/>
    <x v="0"/>
    <s v="Printers"/>
    <x v="3"/>
    <s v="Punjab"/>
    <s v="Ludhiana"/>
    <x v="2"/>
    <n v="4"/>
    <n v="43200"/>
    <n v="10"/>
    <n v="6663.24"/>
  </r>
  <r>
    <s v="AMZ10565"/>
    <x v="284"/>
    <s v="2025-09-29"/>
    <s v="Priya"/>
    <x v="2"/>
    <x v="0"/>
    <s v="Accessories"/>
    <x v="0"/>
    <s v="West Bengal"/>
    <s v="Kolkata"/>
    <x v="3"/>
    <n v="2"/>
    <n v="2550"/>
    <n v="15"/>
    <n v="351.24"/>
  </r>
  <r>
    <s v="AMZ10566"/>
    <x v="162"/>
    <s v="2025-01-19"/>
    <s v="Karan"/>
    <x v="0"/>
    <x v="0"/>
    <s v="Computers"/>
    <x v="1"/>
    <s v="Gujarat"/>
    <s v="Surat"/>
    <x v="0"/>
    <n v="3"/>
    <n v="148500"/>
    <n v="10"/>
    <n v="16763.2"/>
  </r>
  <r>
    <s v="AMZ10567"/>
    <x v="285"/>
    <s v="2025-05-16"/>
    <s v="Mehul"/>
    <x v="0"/>
    <x v="0"/>
    <s v="Computers"/>
    <x v="3"/>
    <s v="Punjab"/>
    <s v="Ludhiana"/>
    <x v="3"/>
    <n v="5"/>
    <n v="233750"/>
    <n v="15"/>
    <n v="35094.879999999997"/>
  </r>
  <r>
    <s v="AMZ10568"/>
    <x v="44"/>
    <s v="2025-07-14"/>
    <s v="Amit"/>
    <x v="1"/>
    <x v="1"/>
    <s v="Chairs"/>
    <x v="3"/>
    <s v="Delhi"/>
    <s v="New Delhi"/>
    <x v="3"/>
    <n v="4"/>
    <n v="24700"/>
    <n v="5"/>
    <n v="4862.2700000000004"/>
  </r>
  <r>
    <s v="AMZ10569"/>
    <x v="286"/>
    <s v="2025-11-05"/>
    <s v="Rahul"/>
    <x v="2"/>
    <x v="0"/>
    <s v="Accessories"/>
    <x v="0"/>
    <s v="West Bengal"/>
    <s v="Kolkata"/>
    <x v="0"/>
    <n v="1"/>
    <n v="1425"/>
    <n v="5"/>
    <n v="179.43"/>
  </r>
  <r>
    <s v="AMZ10570"/>
    <x v="226"/>
    <s v="2025-01-27"/>
    <s v="Mehul"/>
    <x v="1"/>
    <x v="1"/>
    <s v="Chairs"/>
    <x v="3"/>
    <s v="Delhi"/>
    <s v="New Delhi"/>
    <x v="2"/>
    <n v="1"/>
    <n v="6175"/>
    <n v="5"/>
    <n v="974.78"/>
  </r>
  <r>
    <s v="AMZ10571"/>
    <x v="287"/>
    <s v="2025-12-04"/>
    <s v="Rahul"/>
    <x v="4"/>
    <x v="0"/>
    <s v="Printers"/>
    <x v="3"/>
    <s v="Delhi"/>
    <s v="New Delhi"/>
    <x v="0"/>
    <n v="2"/>
    <n v="24000"/>
    <n v="0"/>
    <n v="2381.1799999999998"/>
  </r>
  <r>
    <s v="AMZ10572"/>
    <x v="49"/>
    <s v="2025-02-22"/>
    <s v="Vikas"/>
    <x v="1"/>
    <x v="1"/>
    <s v="Chairs"/>
    <x v="0"/>
    <s v="West Bengal"/>
    <s v="Kolkata"/>
    <x v="3"/>
    <n v="1"/>
    <n v="5200"/>
    <n v="20"/>
    <n v="552.35"/>
  </r>
  <r>
    <s v="AMZ10573"/>
    <x v="62"/>
    <s v="2025-04-05"/>
    <s v="Neha"/>
    <x v="2"/>
    <x v="0"/>
    <s v="Accessories"/>
    <x v="3"/>
    <s v="Punjab"/>
    <s v="Ludhiana"/>
    <x v="3"/>
    <n v="1"/>
    <n v="1500"/>
    <n v="0"/>
    <n v="279.99"/>
  </r>
  <r>
    <s v="AMZ10574"/>
    <x v="229"/>
    <s v="2025-07-31"/>
    <s v="Mehul"/>
    <x v="4"/>
    <x v="0"/>
    <s v="Printers"/>
    <x v="0"/>
    <s v="Odisha"/>
    <s v="Bhubaneswar"/>
    <x v="2"/>
    <n v="4"/>
    <n v="48000"/>
    <n v="0"/>
    <n v="4212.3999999999996"/>
  </r>
  <r>
    <s v="AMZ10575"/>
    <x v="14"/>
    <s v="2025-12-26"/>
    <s v="Karan"/>
    <x v="8"/>
    <x v="1"/>
    <s v="Tables"/>
    <x v="1"/>
    <s v="Maharashtra"/>
    <s v="Pune"/>
    <x v="0"/>
    <n v="4"/>
    <n v="34000"/>
    <n v="0"/>
    <n v="4540.67"/>
  </r>
  <r>
    <s v="AMZ10576"/>
    <x v="83"/>
    <s v="2025-10-28"/>
    <s v="Neha"/>
    <x v="3"/>
    <x v="2"/>
    <s v="Stationery"/>
    <x v="2"/>
    <s v="Tamil Nadu"/>
    <s v="Chennai"/>
    <x v="3"/>
    <n v="4"/>
    <n v="1120"/>
    <n v="20"/>
    <n v="92.34"/>
  </r>
  <r>
    <s v="AMZ10577"/>
    <x v="91"/>
    <s v="2025-02-15"/>
    <s v="Priya"/>
    <x v="7"/>
    <x v="3"/>
    <s v="Travel"/>
    <x v="2"/>
    <s v="Tamil Nadu"/>
    <s v="Chennai"/>
    <x v="2"/>
    <n v="4"/>
    <n v="6480"/>
    <n v="10"/>
    <n v="871.91"/>
  </r>
  <r>
    <s v="AMZ10578"/>
    <x v="133"/>
    <s v="2025-08-31"/>
    <s v="Vikas"/>
    <x v="5"/>
    <x v="0"/>
    <s v="Accessories"/>
    <x v="0"/>
    <s v="West Bengal"/>
    <s v="Kolkata"/>
    <x v="3"/>
    <n v="4"/>
    <n v="3060"/>
    <n v="15"/>
    <n v="492.99"/>
  </r>
  <r>
    <s v="AMZ10579"/>
    <x v="130"/>
    <s v="2025-01-16"/>
    <s v="Mehul"/>
    <x v="2"/>
    <x v="0"/>
    <s v="Accessories"/>
    <x v="0"/>
    <s v="West Bengal"/>
    <s v="Kolkata"/>
    <x v="1"/>
    <n v="1"/>
    <n v="1500"/>
    <n v="0"/>
    <n v="156.33000000000001"/>
  </r>
  <r>
    <s v="AMZ10580"/>
    <x v="231"/>
    <s v="2025-12-21"/>
    <s v="Riya"/>
    <x v="6"/>
    <x v="0"/>
    <s v="Accessories"/>
    <x v="0"/>
    <s v="West Bengal"/>
    <s v="Kolkata"/>
    <x v="0"/>
    <n v="4"/>
    <n v="7480"/>
    <n v="15"/>
    <n v="906.61"/>
  </r>
  <r>
    <s v="AMZ10581"/>
    <x v="133"/>
    <s v="2025-09-01"/>
    <s v="Sneha"/>
    <x v="8"/>
    <x v="1"/>
    <s v="Tables"/>
    <x v="1"/>
    <s v="Maharashtra"/>
    <s v="Mumbai"/>
    <x v="3"/>
    <n v="5"/>
    <n v="38250"/>
    <n v="10"/>
    <n v="6634.71"/>
  </r>
  <r>
    <s v="AMZ10582"/>
    <x v="79"/>
    <s v="2025-08-02"/>
    <s v="Sneha"/>
    <x v="2"/>
    <x v="0"/>
    <s v="Accessories"/>
    <x v="2"/>
    <s v="Karnataka"/>
    <s v="Bengaluru"/>
    <x v="1"/>
    <n v="5"/>
    <n v="7125"/>
    <n v="5"/>
    <n v="858.64"/>
  </r>
  <r>
    <s v="AMZ10583"/>
    <x v="145"/>
    <s v="2025-08-16"/>
    <s v="Neha"/>
    <x v="9"/>
    <x v="4"/>
    <s v="Kitchen"/>
    <x v="3"/>
    <s v="Punjab"/>
    <s v="Ludhiana"/>
    <x v="3"/>
    <n v="5"/>
    <n v="1912.5"/>
    <n v="15"/>
    <n v="414.05"/>
  </r>
  <r>
    <s v="AMZ10584"/>
    <x v="288"/>
    <s v="2025-06-03"/>
    <s v="Vikas"/>
    <x v="2"/>
    <x v="0"/>
    <s v="Accessories"/>
    <x v="3"/>
    <s v="Punjab"/>
    <s v="Ludhiana"/>
    <x v="0"/>
    <n v="4"/>
    <n v="6000"/>
    <n v="0"/>
    <n v="1143"/>
  </r>
  <r>
    <s v="AMZ10585"/>
    <x v="219"/>
    <s v="2025-03-01"/>
    <s v="Priya"/>
    <x v="5"/>
    <x v="0"/>
    <s v="Accessories"/>
    <x v="2"/>
    <s v="Karnataka"/>
    <s v="Bengaluru"/>
    <x v="1"/>
    <n v="2"/>
    <n v="1530"/>
    <n v="15"/>
    <n v="252.31"/>
  </r>
  <r>
    <s v="AMZ10586"/>
    <x v="101"/>
    <s v="2025-10-23"/>
    <s v="Vikas"/>
    <x v="7"/>
    <x v="3"/>
    <s v="Travel"/>
    <x v="1"/>
    <s v="Maharashtra"/>
    <s v="Mumbai"/>
    <x v="1"/>
    <n v="2"/>
    <n v="3240"/>
    <n v="10"/>
    <n v="654.16"/>
  </r>
  <r>
    <s v="AMZ10587"/>
    <x v="128"/>
    <s v="2025-10-15"/>
    <s v="Karan"/>
    <x v="3"/>
    <x v="2"/>
    <s v="Stationery"/>
    <x v="3"/>
    <s v="Punjab"/>
    <s v="Ludhiana"/>
    <x v="2"/>
    <n v="1"/>
    <n v="280"/>
    <n v="20"/>
    <n v="34.869999999999997"/>
  </r>
  <r>
    <s v="AMZ10588"/>
    <x v="57"/>
    <s v="2025-04-27"/>
    <s v="Mehul"/>
    <x v="6"/>
    <x v="0"/>
    <s v="Accessories"/>
    <x v="0"/>
    <s v="Odisha"/>
    <s v="Bhubaneswar"/>
    <x v="1"/>
    <n v="2"/>
    <n v="3520"/>
    <n v="20"/>
    <n v="316.01"/>
  </r>
  <r>
    <s v="AMZ10589"/>
    <x v="207"/>
    <s v="2025-05-13"/>
    <s v="Karan"/>
    <x v="5"/>
    <x v="0"/>
    <s v="Accessories"/>
    <x v="1"/>
    <s v="Gujarat"/>
    <s v="Surat"/>
    <x v="3"/>
    <n v="3"/>
    <n v="2295"/>
    <n v="15"/>
    <n v="388.31"/>
  </r>
  <r>
    <s v="AMZ10590"/>
    <x v="289"/>
    <s v="2025-05-06"/>
    <s v="Riya"/>
    <x v="9"/>
    <x v="4"/>
    <s v="Kitchen"/>
    <x v="0"/>
    <s v="Odisha"/>
    <s v="Bhubaneswar"/>
    <x v="2"/>
    <n v="3"/>
    <n v="1350"/>
    <n v="0"/>
    <n v="135.19"/>
  </r>
  <r>
    <s v="AMZ10591"/>
    <x v="193"/>
    <s v="2025-10-20"/>
    <s v="Mehul"/>
    <x v="0"/>
    <x v="0"/>
    <s v="Computers"/>
    <x v="1"/>
    <s v="Gujarat"/>
    <s v="Surat"/>
    <x v="0"/>
    <n v="4"/>
    <n v="198000"/>
    <n v="10"/>
    <n v="19104.330000000002"/>
  </r>
  <r>
    <s v="AMZ10592"/>
    <x v="36"/>
    <s v="2025-09-28"/>
    <s v="Mehul"/>
    <x v="7"/>
    <x v="3"/>
    <s v="Travel"/>
    <x v="0"/>
    <s v="Odisha"/>
    <s v="Bhubaneswar"/>
    <x v="0"/>
    <n v="5"/>
    <n v="8550"/>
    <n v="5"/>
    <n v="1372.05"/>
  </r>
  <r>
    <s v="AMZ10593"/>
    <x v="290"/>
    <s v="2025-06-07"/>
    <s v="Riya"/>
    <x v="2"/>
    <x v="0"/>
    <s v="Accessories"/>
    <x v="3"/>
    <s v="Punjab"/>
    <s v="Ludhiana"/>
    <x v="2"/>
    <n v="4"/>
    <n v="5700"/>
    <n v="5"/>
    <n v="867.68"/>
  </r>
  <r>
    <s v="AMZ10594"/>
    <x v="233"/>
    <s v="2025-05-03"/>
    <s v="Karan"/>
    <x v="2"/>
    <x v="0"/>
    <s v="Accessories"/>
    <x v="0"/>
    <s v="West Bengal"/>
    <s v="Kolkata"/>
    <x v="2"/>
    <n v="5"/>
    <n v="6375"/>
    <n v="15"/>
    <n v="1383.27"/>
  </r>
  <r>
    <s v="AMZ10595"/>
    <x v="115"/>
    <s v="2025-06-08"/>
    <s v="Amit"/>
    <x v="4"/>
    <x v="0"/>
    <s v="Printers"/>
    <x v="0"/>
    <s v="Odisha"/>
    <s v="Bhubaneswar"/>
    <x v="2"/>
    <n v="5"/>
    <n v="51000"/>
    <n v="15"/>
    <n v="7215.55"/>
  </r>
  <r>
    <s v="AMZ10596"/>
    <x v="279"/>
    <s v="2025-02-04"/>
    <s v="Karan"/>
    <x v="1"/>
    <x v="1"/>
    <s v="Chairs"/>
    <x v="1"/>
    <s v="Maharashtra"/>
    <s v="Mumbai"/>
    <x v="0"/>
    <n v="5"/>
    <n v="26000"/>
    <n v="20"/>
    <n v="4051.11"/>
  </r>
  <r>
    <s v="AMZ10597"/>
    <x v="171"/>
    <s v="2025-12-23"/>
    <s v="Mehul"/>
    <x v="5"/>
    <x v="0"/>
    <s v="Accessories"/>
    <x v="1"/>
    <s v="Maharashtra"/>
    <s v="Mumbai"/>
    <x v="3"/>
    <n v="3"/>
    <n v="2565"/>
    <n v="5"/>
    <n v="239.02"/>
  </r>
  <r>
    <s v="AMZ10598"/>
    <x v="230"/>
    <s v="2025-05-16"/>
    <s v="Amit"/>
    <x v="1"/>
    <x v="1"/>
    <s v="Chairs"/>
    <x v="1"/>
    <s v="Gujarat"/>
    <s v="Surat"/>
    <x v="2"/>
    <n v="1"/>
    <n v="5525"/>
    <n v="15"/>
    <n v="1019.4"/>
  </r>
  <r>
    <s v="AMZ10599"/>
    <x v="230"/>
    <s v="2025-05-18"/>
    <s v="Rahul"/>
    <x v="4"/>
    <x v="0"/>
    <s v="Printers"/>
    <x v="2"/>
    <s v="Tamil Nadu"/>
    <s v="Chennai"/>
    <x v="0"/>
    <n v="3"/>
    <n v="28800"/>
    <n v="20"/>
    <n v="5230.3999999999996"/>
  </r>
  <r>
    <s v="AMZ10600"/>
    <x v="165"/>
    <s v="2025-03-26"/>
    <s v="Amit"/>
    <x v="7"/>
    <x v="3"/>
    <s v="Travel"/>
    <x v="0"/>
    <s v="West Bengal"/>
    <s v="Kolkata"/>
    <x v="2"/>
    <n v="1"/>
    <n v="1620"/>
    <n v="10"/>
    <n v="150.68"/>
  </r>
  <r>
    <s v="AMZ10601"/>
    <x v="83"/>
    <s v="2025-10-26"/>
    <s v="Riya"/>
    <x v="0"/>
    <x v="0"/>
    <s v="Computers"/>
    <x v="2"/>
    <s v="Karnataka"/>
    <s v="Bengaluru"/>
    <x v="0"/>
    <n v="2"/>
    <n v="88000"/>
    <n v="20"/>
    <n v="17194.73"/>
  </r>
  <r>
    <s v="AMZ10602"/>
    <x v="123"/>
    <s v="2025-11-22"/>
    <s v="Riya"/>
    <x v="7"/>
    <x v="3"/>
    <s v="Travel"/>
    <x v="1"/>
    <s v="Maharashtra"/>
    <s v="Mumbai"/>
    <x v="3"/>
    <n v="1"/>
    <n v="1440"/>
    <n v="20"/>
    <n v="162.01"/>
  </r>
  <r>
    <s v="AMZ10603"/>
    <x v="224"/>
    <s v="2025-04-14"/>
    <s v="Karan"/>
    <x v="3"/>
    <x v="2"/>
    <s v="Stationery"/>
    <x v="0"/>
    <s v="Odisha"/>
    <s v="Bhubaneswar"/>
    <x v="0"/>
    <n v="1"/>
    <n v="332.5"/>
    <n v="5"/>
    <n v="66.91"/>
  </r>
  <r>
    <s v="AMZ10604"/>
    <x v="129"/>
    <s v="2025-08-10"/>
    <s v="Prem"/>
    <x v="9"/>
    <x v="4"/>
    <s v="Kitchen"/>
    <x v="2"/>
    <s v="Karnataka"/>
    <s v="Bengaluru"/>
    <x v="3"/>
    <n v="4"/>
    <n v="1800"/>
    <n v="0"/>
    <n v="381.97"/>
  </r>
  <r>
    <s v="AMZ10605"/>
    <x v="105"/>
    <s v="2025-12-30"/>
    <s v="Prem"/>
    <x v="2"/>
    <x v="0"/>
    <s v="Accessories"/>
    <x v="3"/>
    <s v="Delhi"/>
    <s v="New Delhi"/>
    <x v="0"/>
    <n v="3"/>
    <n v="4275"/>
    <n v="5"/>
    <n v="445.35"/>
  </r>
  <r>
    <s v="AMZ10606"/>
    <x v="158"/>
    <s v="2025-08-16"/>
    <s v="Mehul"/>
    <x v="9"/>
    <x v="4"/>
    <s v="Kitchen"/>
    <x v="1"/>
    <s v="Gujarat"/>
    <s v="Surat"/>
    <x v="0"/>
    <n v="3"/>
    <n v="1215"/>
    <n v="10"/>
    <n v="187.58"/>
  </r>
  <r>
    <s v="AMZ10607"/>
    <x v="72"/>
    <s v="2025-12-05"/>
    <s v="Neha"/>
    <x v="6"/>
    <x v="0"/>
    <s v="Accessories"/>
    <x v="2"/>
    <s v="Tamil Nadu"/>
    <s v="Chennai"/>
    <x v="1"/>
    <n v="5"/>
    <n v="9900"/>
    <n v="10"/>
    <n v="1213.5899999999999"/>
  </r>
  <r>
    <s v="AMZ10608"/>
    <x v="211"/>
    <s v="2025-08-08"/>
    <s v="Sneha"/>
    <x v="3"/>
    <x v="2"/>
    <s v="Stationery"/>
    <x v="3"/>
    <s v="Punjab"/>
    <s v="Ludhiana"/>
    <x v="3"/>
    <n v="5"/>
    <n v="1400"/>
    <n v="20"/>
    <n v="186.01"/>
  </r>
  <r>
    <s v="AMZ10609"/>
    <x v="130"/>
    <s v="2025-01-13"/>
    <s v="Neha"/>
    <x v="8"/>
    <x v="1"/>
    <s v="Tables"/>
    <x v="2"/>
    <s v="Tamil Nadu"/>
    <s v="Chennai"/>
    <x v="0"/>
    <n v="5"/>
    <n v="38250"/>
    <n v="10"/>
    <n v="8044.79"/>
  </r>
  <r>
    <s v="AMZ10610"/>
    <x v="220"/>
    <s v="2025-06-16"/>
    <s v="Vikas"/>
    <x v="2"/>
    <x v="0"/>
    <s v="Accessories"/>
    <x v="1"/>
    <s v="Maharashtra"/>
    <s v="Pune"/>
    <x v="1"/>
    <n v="5"/>
    <n v="6000"/>
    <n v="20"/>
    <n v="1050.8"/>
  </r>
  <r>
    <s v="AMZ10611"/>
    <x v="148"/>
    <s v="2025-06-21"/>
    <s v="Karan"/>
    <x v="5"/>
    <x v="0"/>
    <s v="Accessories"/>
    <x v="1"/>
    <s v="Maharashtra"/>
    <s v="Mumbai"/>
    <x v="3"/>
    <n v="4"/>
    <n v="3060"/>
    <n v="15"/>
    <n v="439.26"/>
  </r>
  <r>
    <s v="AMZ10612"/>
    <x v="183"/>
    <s v="2025-04-12"/>
    <s v="Sneha"/>
    <x v="2"/>
    <x v="0"/>
    <s v="Accessories"/>
    <x v="3"/>
    <s v="Delhi"/>
    <s v="New Delhi"/>
    <x v="2"/>
    <n v="5"/>
    <n v="7125"/>
    <n v="5"/>
    <n v="1217.8"/>
  </r>
  <r>
    <s v="AMZ10613"/>
    <x v="176"/>
    <s v="2025-01-17"/>
    <s v="Priya"/>
    <x v="3"/>
    <x v="2"/>
    <s v="Stationery"/>
    <x v="2"/>
    <s v="Karnataka"/>
    <s v="Bengaluru"/>
    <x v="2"/>
    <n v="4"/>
    <n v="1190"/>
    <n v="15"/>
    <n v="225.65"/>
  </r>
  <r>
    <s v="AMZ10614"/>
    <x v="56"/>
    <s v="2025-02-08"/>
    <s v="Amit"/>
    <x v="2"/>
    <x v="0"/>
    <s v="Accessories"/>
    <x v="1"/>
    <s v="Maharashtra"/>
    <s v="Pune"/>
    <x v="3"/>
    <n v="5"/>
    <n v="7125"/>
    <n v="5"/>
    <n v="989.98"/>
  </r>
  <r>
    <s v="AMZ10615"/>
    <x v="291"/>
    <s v="2025-06-20"/>
    <s v="Sneha"/>
    <x v="4"/>
    <x v="0"/>
    <s v="Printers"/>
    <x v="0"/>
    <s v="West Bengal"/>
    <s v="Kolkata"/>
    <x v="2"/>
    <n v="4"/>
    <n v="38400"/>
    <n v="20"/>
    <n v="7627.16"/>
  </r>
  <r>
    <s v="AMZ10616"/>
    <x v="266"/>
    <s v="2025-03-12"/>
    <s v="Amit"/>
    <x v="9"/>
    <x v="4"/>
    <s v="Kitchen"/>
    <x v="1"/>
    <s v="Maharashtra"/>
    <s v="Pune"/>
    <x v="1"/>
    <n v="2"/>
    <n v="720"/>
    <n v="20"/>
    <n v="90.01"/>
  </r>
  <r>
    <s v="AMZ10617"/>
    <x v="292"/>
    <s v="2025-09-28"/>
    <s v="Mehul"/>
    <x v="1"/>
    <x v="1"/>
    <s v="Chairs"/>
    <x v="1"/>
    <s v="Maharashtra"/>
    <s v="Mumbai"/>
    <x v="2"/>
    <n v="3"/>
    <n v="19500"/>
    <n v="0"/>
    <n v="1699.85"/>
  </r>
  <r>
    <s v="AMZ10618"/>
    <x v="37"/>
    <s v="2025-08-18"/>
    <s v="Riya"/>
    <x v="0"/>
    <x v="0"/>
    <s v="Computers"/>
    <x v="0"/>
    <s v="Odisha"/>
    <s v="Bhubaneswar"/>
    <x v="2"/>
    <n v="2"/>
    <n v="104500"/>
    <n v="5"/>
    <n v="16155.98"/>
  </r>
  <r>
    <s v="AMZ10619"/>
    <x v="262"/>
    <s v="2025-08-01"/>
    <s v="Mehul"/>
    <x v="9"/>
    <x v="4"/>
    <s v="Kitchen"/>
    <x v="0"/>
    <s v="West Bengal"/>
    <s v="Kolkata"/>
    <x v="3"/>
    <n v="4"/>
    <n v="1440"/>
    <n v="20"/>
    <n v="265.63"/>
  </r>
  <r>
    <s v="AMZ10620"/>
    <x v="168"/>
    <s v="2025-12-20"/>
    <s v="Mehul"/>
    <x v="4"/>
    <x v="0"/>
    <s v="Printers"/>
    <x v="3"/>
    <s v="Delhi"/>
    <s v="New Delhi"/>
    <x v="3"/>
    <n v="1"/>
    <n v="10800"/>
    <n v="10"/>
    <n v="1712.22"/>
  </r>
  <r>
    <s v="AMZ10621"/>
    <x v="271"/>
    <s v="2025-06-21"/>
    <s v="Neha"/>
    <x v="5"/>
    <x v="0"/>
    <s v="Accessories"/>
    <x v="3"/>
    <s v="Punjab"/>
    <s v="Ludhiana"/>
    <x v="3"/>
    <n v="5"/>
    <n v="3825"/>
    <n v="15"/>
    <n v="639.91"/>
  </r>
  <r>
    <s v="AMZ10622"/>
    <x v="196"/>
    <s v="2025-07-12"/>
    <s v="Amit"/>
    <x v="5"/>
    <x v="0"/>
    <s v="Accessories"/>
    <x v="3"/>
    <s v="Punjab"/>
    <s v="Ludhiana"/>
    <x v="1"/>
    <n v="2"/>
    <n v="1620"/>
    <n v="10"/>
    <n v="312.32"/>
  </r>
  <r>
    <s v="AMZ10623"/>
    <x v="268"/>
    <s v="2025-07-20"/>
    <s v="Neha"/>
    <x v="5"/>
    <x v="0"/>
    <s v="Accessories"/>
    <x v="1"/>
    <s v="Maharashtra"/>
    <s v="Pune"/>
    <x v="0"/>
    <n v="3"/>
    <n v="2565"/>
    <n v="5"/>
    <n v="279.60000000000002"/>
  </r>
  <r>
    <s v="AMZ10624"/>
    <x v="86"/>
    <s v="2025-10-15"/>
    <s v="Sneha"/>
    <x v="4"/>
    <x v="0"/>
    <s v="Printers"/>
    <x v="3"/>
    <s v="Punjab"/>
    <s v="Ludhiana"/>
    <x v="2"/>
    <n v="5"/>
    <n v="57000"/>
    <n v="5"/>
    <n v="8137.98"/>
  </r>
  <r>
    <s v="AMZ10625"/>
    <x v="293"/>
    <s v="2025-06-30"/>
    <s v="Amit"/>
    <x v="4"/>
    <x v="0"/>
    <s v="Printers"/>
    <x v="1"/>
    <s v="Gujarat"/>
    <s v="Surat"/>
    <x v="0"/>
    <n v="1"/>
    <n v="11400"/>
    <n v="5"/>
    <n v="1217.3800000000001"/>
  </r>
  <r>
    <s v="AMZ10626"/>
    <x v="294"/>
    <s v="2025-06-10"/>
    <s v="Prem"/>
    <x v="6"/>
    <x v="0"/>
    <s v="Accessories"/>
    <x v="3"/>
    <s v="Punjab"/>
    <s v="Ludhiana"/>
    <x v="0"/>
    <n v="4"/>
    <n v="8360"/>
    <n v="5"/>
    <n v="861.71"/>
  </r>
  <r>
    <s v="AMZ10627"/>
    <x v="295"/>
    <s v="2025-05-10"/>
    <s v="Vikas"/>
    <x v="2"/>
    <x v="0"/>
    <s v="Accessories"/>
    <x v="0"/>
    <s v="Odisha"/>
    <s v="Bhubaneswar"/>
    <x v="3"/>
    <n v="5"/>
    <n v="6375"/>
    <n v="15"/>
    <n v="859.49"/>
  </r>
  <r>
    <s v="AMZ10628"/>
    <x v="199"/>
    <s v="2025-02-21"/>
    <s v="Priya"/>
    <x v="6"/>
    <x v="0"/>
    <s v="Accessories"/>
    <x v="3"/>
    <s v="Punjab"/>
    <s v="Ludhiana"/>
    <x v="3"/>
    <n v="2"/>
    <n v="3520"/>
    <n v="20"/>
    <n v="664.71"/>
  </r>
  <r>
    <s v="AMZ10629"/>
    <x v="289"/>
    <s v="2025-05-08"/>
    <s v="Amit"/>
    <x v="5"/>
    <x v="0"/>
    <s v="Accessories"/>
    <x v="2"/>
    <s v="Karnataka"/>
    <s v="Bengaluru"/>
    <x v="0"/>
    <n v="1"/>
    <n v="720"/>
    <n v="20"/>
    <n v="143.26"/>
  </r>
  <r>
    <s v="AMZ10630"/>
    <x v="274"/>
    <s v="2025-10-05"/>
    <s v="Amit"/>
    <x v="2"/>
    <x v="0"/>
    <s v="Accessories"/>
    <x v="3"/>
    <s v="Punjab"/>
    <s v="Ludhiana"/>
    <x v="0"/>
    <n v="3"/>
    <n v="4500"/>
    <n v="0"/>
    <n v="396.24"/>
  </r>
  <r>
    <s v="AMZ10631"/>
    <x v="286"/>
    <s v="2025-11-02"/>
    <s v="Riya"/>
    <x v="6"/>
    <x v="0"/>
    <s v="Accessories"/>
    <x v="0"/>
    <s v="Odisha"/>
    <s v="Bhubaneswar"/>
    <x v="1"/>
    <n v="2"/>
    <n v="3740"/>
    <n v="15"/>
    <n v="517.32000000000005"/>
  </r>
  <r>
    <s v="AMZ10632"/>
    <x v="157"/>
    <s v="2025-12-22"/>
    <s v="Prem"/>
    <x v="2"/>
    <x v="0"/>
    <s v="Accessories"/>
    <x v="3"/>
    <s v="Punjab"/>
    <s v="Ludhiana"/>
    <x v="3"/>
    <n v="1"/>
    <n v="1425"/>
    <n v="5"/>
    <n v="187.39"/>
  </r>
  <r>
    <s v="AMZ10633"/>
    <x v="296"/>
    <s v="2025-06-24"/>
    <s v="Sneha"/>
    <x v="2"/>
    <x v="0"/>
    <s v="Accessories"/>
    <x v="0"/>
    <s v="Odisha"/>
    <s v="Bhubaneswar"/>
    <x v="2"/>
    <n v="5"/>
    <n v="6375"/>
    <n v="15"/>
    <n v="657.6"/>
  </r>
  <r>
    <s v="AMZ10634"/>
    <x v="75"/>
    <s v="2025-05-03"/>
    <s v="Riya"/>
    <x v="3"/>
    <x v="2"/>
    <s v="Stationery"/>
    <x v="3"/>
    <s v="Punjab"/>
    <s v="Ludhiana"/>
    <x v="1"/>
    <n v="4"/>
    <n v="1400"/>
    <n v="0"/>
    <n v="216.44"/>
  </r>
  <r>
    <s v="AMZ10635"/>
    <x v="297"/>
    <s v="2025-04-09"/>
    <s v="Sneha"/>
    <x v="7"/>
    <x v="3"/>
    <s v="Travel"/>
    <x v="2"/>
    <s v="Tamil Nadu"/>
    <s v="Chennai"/>
    <x v="0"/>
    <n v="5"/>
    <n v="8100"/>
    <n v="10"/>
    <n v="688.67"/>
  </r>
  <r>
    <s v="AMZ10636"/>
    <x v="210"/>
    <s v="2025-05-14"/>
    <s v="Mehul"/>
    <x v="1"/>
    <x v="1"/>
    <s v="Chairs"/>
    <x v="0"/>
    <s v="Odisha"/>
    <s v="Bhubaneswar"/>
    <x v="1"/>
    <n v="4"/>
    <n v="24700"/>
    <n v="5"/>
    <n v="3764.87"/>
  </r>
  <r>
    <s v="AMZ10637"/>
    <x v="65"/>
    <s v="2025-11-24"/>
    <s v="Neha"/>
    <x v="2"/>
    <x v="0"/>
    <s v="Accessories"/>
    <x v="1"/>
    <s v="Maharashtra"/>
    <s v="Pune"/>
    <x v="3"/>
    <n v="3"/>
    <n v="3825"/>
    <n v="15"/>
    <n v="439.7"/>
  </r>
  <r>
    <s v="AMZ10638"/>
    <x v="41"/>
    <s v="2025-12-01"/>
    <s v="Karan"/>
    <x v="5"/>
    <x v="0"/>
    <s v="Accessories"/>
    <x v="0"/>
    <s v="West Bengal"/>
    <s v="Kolkata"/>
    <x v="0"/>
    <n v="4"/>
    <n v="3240"/>
    <n v="10"/>
    <n v="478.33"/>
  </r>
  <r>
    <s v="AMZ10639"/>
    <x v="298"/>
    <s v="2025-04-30"/>
    <s v="Prem"/>
    <x v="9"/>
    <x v="4"/>
    <s v="Kitchen"/>
    <x v="3"/>
    <s v="Delhi"/>
    <s v="New Delhi"/>
    <x v="3"/>
    <n v="3"/>
    <n v="1350"/>
    <n v="0"/>
    <n v="281.05"/>
  </r>
  <r>
    <s v="AMZ10640"/>
    <x v="103"/>
    <s v="2025-06-02"/>
    <s v="Sneha"/>
    <x v="2"/>
    <x v="0"/>
    <s v="Accessories"/>
    <x v="3"/>
    <s v="Delhi"/>
    <s v="New Delhi"/>
    <x v="0"/>
    <n v="2"/>
    <n v="2700"/>
    <n v="10"/>
    <n v="466.41"/>
  </r>
  <r>
    <s v="AMZ10641"/>
    <x v="162"/>
    <s v="2025-01-20"/>
    <s v="Rahul"/>
    <x v="9"/>
    <x v="4"/>
    <s v="Kitchen"/>
    <x v="2"/>
    <s v="Karnataka"/>
    <s v="Bengaluru"/>
    <x v="2"/>
    <n v="5"/>
    <n v="2250"/>
    <n v="0"/>
    <n v="410.15"/>
  </r>
  <r>
    <s v="AMZ10642"/>
    <x v="33"/>
    <s v="2025-12-01"/>
    <s v="Riya"/>
    <x v="3"/>
    <x v="2"/>
    <s v="Stationery"/>
    <x v="1"/>
    <s v="Maharashtra"/>
    <s v="Mumbai"/>
    <x v="1"/>
    <n v="2"/>
    <n v="560"/>
    <n v="20"/>
    <n v="111.4"/>
  </r>
  <r>
    <s v="AMZ10643"/>
    <x v="2"/>
    <s v="2025-02-06"/>
    <s v="Vikas"/>
    <x v="4"/>
    <x v="0"/>
    <s v="Printers"/>
    <x v="1"/>
    <s v="Maharashtra"/>
    <s v="Mumbai"/>
    <x v="0"/>
    <n v="1"/>
    <n v="11400"/>
    <n v="5"/>
    <n v="1077.73"/>
  </r>
  <r>
    <s v="AMZ10644"/>
    <x v="83"/>
    <s v="2025-10-25"/>
    <s v="Karan"/>
    <x v="3"/>
    <x v="2"/>
    <s v="Stationery"/>
    <x v="3"/>
    <s v="Punjab"/>
    <s v="Ludhiana"/>
    <x v="2"/>
    <n v="4"/>
    <n v="1330"/>
    <n v="5"/>
    <n v="242.29"/>
  </r>
  <r>
    <s v="AMZ10645"/>
    <x v="4"/>
    <s v="2025-09-17"/>
    <s v="Priya"/>
    <x v="5"/>
    <x v="0"/>
    <s v="Accessories"/>
    <x v="3"/>
    <s v="Punjab"/>
    <s v="Ludhiana"/>
    <x v="2"/>
    <n v="4"/>
    <n v="3240"/>
    <n v="10"/>
    <n v="663.2"/>
  </r>
  <r>
    <s v="AMZ10646"/>
    <x v="77"/>
    <s v="2025-10-27"/>
    <s v="Priya"/>
    <x v="9"/>
    <x v="4"/>
    <s v="Kitchen"/>
    <x v="1"/>
    <s v="Maharashtra"/>
    <s v="Pune"/>
    <x v="2"/>
    <n v="5"/>
    <n v="2250"/>
    <n v="0"/>
    <n v="481.94"/>
  </r>
  <r>
    <s v="AMZ10647"/>
    <x v="299"/>
    <s v="2025-09-14"/>
    <s v="Priya"/>
    <x v="3"/>
    <x v="2"/>
    <s v="Stationery"/>
    <x v="3"/>
    <s v="Delhi"/>
    <s v="New Delhi"/>
    <x v="0"/>
    <n v="3"/>
    <n v="840"/>
    <n v="20"/>
    <n v="96.2"/>
  </r>
  <r>
    <s v="AMZ10648"/>
    <x v="300"/>
    <s v="2026-01-01"/>
    <s v="Rahul"/>
    <x v="2"/>
    <x v="0"/>
    <s v="Accessories"/>
    <x v="3"/>
    <s v="Punjab"/>
    <s v="Ludhiana"/>
    <x v="0"/>
    <n v="1"/>
    <n v="1275"/>
    <n v="15"/>
    <n v="163.41999999999999"/>
  </r>
  <r>
    <s v="AMZ10649"/>
    <x v="89"/>
    <s v="2025-08-27"/>
    <s v="Karan"/>
    <x v="3"/>
    <x v="2"/>
    <s v="Stationery"/>
    <x v="1"/>
    <s v="Maharashtra"/>
    <s v="Mumbai"/>
    <x v="2"/>
    <n v="5"/>
    <n v="1662.5"/>
    <n v="5"/>
    <n v="234.8"/>
  </r>
  <r>
    <s v="AMZ10650"/>
    <x v="263"/>
    <s v="2025-07-12"/>
    <s v="Riya"/>
    <x v="6"/>
    <x v="0"/>
    <s v="Accessories"/>
    <x v="2"/>
    <s v="Tamil Nadu"/>
    <s v="Chennai"/>
    <x v="2"/>
    <n v="1"/>
    <n v="1980"/>
    <n v="10"/>
    <n v="351.24"/>
  </r>
  <r>
    <s v="AMZ10651"/>
    <x v="259"/>
    <s v="2025-04-23"/>
    <s v="Prem"/>
    <x v="4"/>
    <x v="0"/>
    <s v="Printers"/>
    <x v="1"/>
    <s v="Gujarat"/>
    <s v="Surat"/>
    <x v="0"/>
    <n v="5"/>
    <n v="57000"/>
    <n v="5"/>
    <n v="5678.92"/>
  </r>
  <r>
    <s v="AMZ10652"/>
    <x v="261"/>
    <s v="2025-04-07"/>
    <s v="Neha"/>
    <x v="6"/>
    <x v="0"/>
    <s v="Accessories"/>
    <x v="3"/>
    <s v="Delhi"/>
    <s v="New Delhi"/>
    <x v="2"/>
    <n v="4"/>
    <n v="7480"/>
    <n v="15"/>
    <n v="1017.5"/>
  </r>
  <r>
    <s v="AMZ10653"/>
    <x v="36"/>
    <s v="2025-09-25"/>
    <s v="Vikas"/>
    <x v="9"/>
    <x v="4"/>
    <s v="Kitchen"/>
    <x v="1"/>
    <s v="Maharashtra"/>
    <s v="Mumbai"/>
    <x v="1"/>
    <n v="1"/>
    <n v="382.5"/>
    <n v="15"/>
    <n v="47.93"/>
  </r>
  <r>
    <s v="AMZ10654"/>
    <x v="150"/>
    <s v="2025-11-28"/>
    <s v="Rahul"/>
    <x v="2"/>
    <x v="0"/>
    <s v="Accessories"/>
    <x v="3"/>
    <s v="Delhi"/>
    <s v="New Delhi"/>
    <x v="0"/>
    <n v="3"/>
    <n v="3600"/>
    <n v="20"/>
    <n v="680.19"/>
  </r>
  <r>
    <s v="AMZ10655"/>
    <x v="301"/>
    <s v="2025-10-07"/>
    <s v="Vikas"/>
    <x v="8"/>
    <x v="1"/>
    <s v="Tables"/>
    <x v="2"/>
    <s v="Karnataka"/>
    <s v="Bengaluru"/>
    <x v="2"/>
    <n v="3"/>
    <n v="24225"/>
    <n v="5"/>
    <n v="4497.25"/>
  </r>
  <r>
    <s v="AMZ10656"/>
    <x v="168"/>
    <s v="2025-12-15"/>
    <s v="Amit"/>
    <x v="4"/>
    <x v="0"/>
    <s v="Printers"/>
    <x v="1"/>
    <s v="Gujarat"/>
    <s v="Surat"/>
    <x v="3"/>
    <n v="3"/>
    <n v="34200"/>
    <n v="5"/>
    <n v="5614.37"/>
  </r>
  <r>
    <s v="AMZ10657"/>
    <x v="169"/>
    <s v="2025-11-26"/>
    <s v="Karan"/>
    <x v="6"/>
    <x v="0"/>
    <s v="Accessories"/>
    <x v="2"/>
    <s v="Karnataka"/>
    <s v="Bengaluru"/>
    <x v="0"/>
    <n v="5"/>
    <n v="11000"/>
    <n v="0"/>
    <n v="2299.54"/>
  </r>
  <r>
    <s v="AMZ10658"/>
    <x v="302"/>
    <s v="2025-05-14"/>
    <s v="Vikas"/>
    <x v="6"/>
    <x v="0"/>
    <s v="Accessories"/>
    <x v="0"/>
    <s v="Odisha"/>
    <s v="Bhubaneswar"/>
    <x v="3"/>
    <n v="4"/>
    <n v="8800"/>
    <n v="0"/>
    <n v="972.19"/>
  </r>
  <r>
    <s v="AMZ10659"/>
    <x v="202"/>
    <s v="2025-05-18"/>
    <s v="Prem"/>
    <x v="7"/>
    <x v="3"/>
    <s v="Travel"/>
    <x v="2"/>
    <s v="Karnataka"/>
    <s v="Bengaluru"/>
    <x v="3"/>
    <n v="1"/>
    <n v="1800"/>
    <n v="0"/>
    <n v="182.88"/>
  </r>
  <r>
    <s v="AMZ10660"/>
    <x v="48"/>
    <s v="2025-11-16"/>
    <s v="Prem"/>
    <x v="5"/>
    <x v="0"/>
    <s v="Accessories"/>
    <x v="2"/>
    <s v="Karnataka"/>
    <s v="Bengaluru"/>
    <x v="3"/>
    <n v="1"/>
    <n v="810"/>
    <n v="10"/>
    <n v="112.68"/>
  </r>
  <r>
    <s v="AMZ10661"/>
    <x v="236"/>
    <s v="2025-10-07"/>
    <s v="Priya"/>
    <x v="1"/>
    <x v="1"/>
    <s v="Chairs"/>
    <x v="1"/>
    <s v="Maharashtra"/>
    <s v="Pune"/>
    <x v="3"/>
    <n v="2"/>
    <n v="11700"/>
    <n v="10"/>
    <n v="1613.72"/>
  </r>
  <r>
    <s v="AMZ10662"/>
    <x v="48"/>
    <s v="2025-11-16"/>
    <s v="Sneha"/>
    <x v="5"/>
    <x v="0"/>
    <s v="Accessories"/>
    <x v="2"/>
    <s v="Karnataka"/>
    <s v="Bengaluru"/>
    <x v="2"/>
    <n v="3"/>
    <n v="2160"/>
    <n v="20"/>
    <n v="215.92"/>
  </r>
  <r>
    <s v="AMZ10663"/>
    <x v="209"/>
    <s v="2025-12-21"/>
    <s v="Karan"/>
    <x v="7"/>
    <x v="3"/>
    <s v="Travel"/>
    <x v="3"/>
    <s v="Punjab"/>
    <s v="Ludhiana"/>
    <x v="3"/>
    <n v="3"/>
    <n v="4320"/>
    <n v="20"/>
    <n v="425.32"/>
  </r>
  <r>
    <s v="AMZ10664"/>
    <x v="136"/>
    <s v="2025-05-02"/>
    <s v="Amit"/>
    <x v="7"/>
    <x v="3"/>
    <s v="Travel"/>
    <x v="3"/>
    <s v="Punjab"/>
    <s v="Ludhiana"/>
    <x v="2"/>
    <n v="4"/>
    <n v="7200"/>
    <n v="0"/>
    <n v="1314.04"/>
  </r>
  <r>
    <s v="AMZ10665"/>
    <x v="303"/>
    <s v="2025-10-07"/>
    <s v="Riya"/>
    <x v="1"/>
    <x v="1"/>
    <s v="Chairs"/>
    <x v="1"/>
    <s v="Maharashtra"/>
    <s v="Pune"/>
    <x v="1"/>
    <n v="1"/>
    <n v="5850"/>
    <n v="10"/>
    <n v="1197.49"/>
  </r>
  <r>
    <s v="AMZ10666"/>
    <x v="80"/>
    <s v="2025-01-15"/>
    <s v="Sneha"/>
    <x v="7"/>
    <x v="3"/>
    <s v="Travel"/>
    <x v="3"/>
    <s v="Delhi"/>
    <s v="New Delhi"/>
    <x v="2"/>
    <n v="4"/>
    <n v="5760"/>
    <n v="20"/>
    <n v="1040.48"/>
  </r>
  <r>
    <s v="AMZ10667"/>
    <x v="120"/>
    <s v="2025-03-27"/>
    <s v="Priya"/>
    <x v="4"/>
    <x v="0"/>
    <s v="Printers"/>
    <x v="3"/>
    <s v="Punjab"/>
    <s v="Ludhiana"/>
    <x v="3"/>
    <n v="3"/>
    <n v="30600"/>
    <n v="15"/>
    <n v="6543.35"/>
  </r>
  <r>
    <s v="AMZ10668"/>
    <x v="289"/>
    <s v="2025-05-04"/>
    <s v="Vikas"/>
    <x v="6"/>
    <x v="0"/>
    <s v="Accessories"/>
    <x v="2"/>
    <s v="Karnataka"/>
    <s v="Bengaluru"/>
    <x v="1"/>
    <n v="4"/>
    <n v="7480"/>
    <n v="15"/>
    <n v="623.66999999999996"/>
  </r>
  <r>
    <s v="AMZ10669"/>
    <x v="213"/>
    <s v="2025-11-18"/>
    <s v="Karan"/>
    <x v="9"/>
    <x v="4"/>
    <s v="Kitchen"/>
    <x v="0"/>
    <s v="West Bengal"/>
    <s v="Kolkata"/>
    <x v="2"/>
    <n v="2"/>
    <n v="765"/>
    <n v="15"/>
    <n v="107.1"/>
  </r>
  <r>
    <s v="AMZ10670"/>
    <x v="187"/>
    <s v="2025-08-08"/>
    <s v="Karan"/>
    <x v="2"/>
    <x v="0"/>
    <s v="Accessories"/>
    <x v="0"/>
    <s v="Odisha"/>
    <s v="Bhubaneswar"/>
    <x v="0"/>
    <n v="5"/>
    <n v="7500"/>
    <n v="0"/>
    <n v="694.82"/>
  </r>
  <r>
    <s v="AMZ10671"/>
    <x v="66"/>
    <s v="2025-03-16"/>
    <s v="Neha"/>
    <x v="3"/>
    <x v="2"/>
    <s v="Stationery"/>
    <x v="3"/>
    <s v="Delhi"/>
    <s v="New Delhi"/>
    <x v="3"/>
    <n v="4"/>
    <n v="1400"/>
    <n v="0"/>
    <n v="257.52999999999997"/>
  </r>
  <r>
    <s v="AMZ10672"/>
    <x v="304"/>
    <s v="2025-10-07"/>
    <s v="Amit"/>
    <x v="2"/>
    <x v="0"/>
    <s v="Accessories"/>
    <x v="1"/>
    <s v="Maharashtra"/>
    <s v="Mumbai"/>
    <x v="2"/>
    <n v="4"/>
    <n v="5400"/>
    <n v="10"/>
    <n v="875.98"/>
  </r>
  <r>
    <s v="AMZ10673"/>
    <x v="111"/>
    <s v="2025-04-20"/>
    <s v="Mehul"/>
    <x v="4"/>
    <x v="0"/>
    <s v="Printers"/>
    <x v="0"/>
    <s v="Odisha"/>
    <s v="Bhubaneswar"/>
    <x v="2"/>
    <n v="3"/>
    <n v="30600"/>
    <n v="15"/>
    <n v="4774.7700000000004"/>
  </r>
  <r>
    <s v="AMZ10674"/>
    <x v="56"/>
    <s v="2025-02-09"/>
    <s v="Rahul"/>
    <x v="3"/>
    <x v="2"/>
    <s v="Stationery"/>
    <x v="1"/>
    <s v="Maharashtra"/>
    <s v="Mumbai"/>
    <x v="3"/>
    <n v="1"/>
    <n v="332.5"/>
    <n v="5"/>
    <n v="45.4"/>
  </r>
  <r>
    <s v="AMZ10675"/>
    <x v="229"/>
    <s v="2025-08-02"/>
    <s v="Vikas"/>
    <x v="0"/>
    <x v="0"/>
    <s v="Computers"/>
    <x v="2"/>
    <s v="Tamil Nadu"/>
    <s v="Chennai"/>
    <x v="3"/>
    <n v="2"/>
    <n v="104500"/>
    <n v="5"/>
    <n v="22940.67"/>
  </r>
  <r>
    <s v="AMZ10676"/>
    <x v="250"/>
    <s v="2025-09-06"/>
    <s v="Mehul"/>
    <x v="3"/>
    <x v="2"/>
    <s v="Stationery"/>
    <x v="1"/>
    <s v="Gujarat"/>
    <s v="Surat"/>
    <x v="0"/>
    <n v="5"/>
    <n v="1662.5"/>
    <n v="5"/>
    <n v="328.29"/>
  </r>
  <r>
    <s v="AMZ10677"/>
    <x v="284"/>
    <s v="2025-09-30"/>
    <s v="Rahul"/>
    <x v="3"/>
    <x v="2"/>
    <s v="Stationery"/>
    <x v="2"/>
    <s v="Tamil Nadu"/>
    <s v="Chennai"/>
    <x v="0"/>
    <n v="3"/>
    <n v="840"/>
    <n v="20"/>
    <n v="169.01"/>
  </r>
  <r>
    <s v="AMZ10678"/>
    <x v="263"/>
    <s v="2025-07-07"/>
    <s v="Riya"/>
    <x v="6"/>
    <x v="0"/>
    <s v="Accessories"/>
    <x v="0"/>
    <s v="Odisha"/>
    <s v="Bhubaneswar"/>
    <x v="0"/>
    <n v="3"/>
    <n v="6270"/>
    <n v="5"/>
    <n v="547.72"/>
  </r>
  <r>
    <s v="AMZ10679"/>
    <x v="260"/>
    <s v="2025-09-01"/>
    <s v="Sneha"/>
    <x v="0"/>
    <x v="0"/>
    <s v="Computers"/>
    <x v="1"/>
    <s v="Maharashtra"/>
    <s v="Mumbai"/>
    <x v="3"/>
    <n v="3"/>
    <n v="132000"/>
    <n v="20"/>
    <n v="26345.31"/>
  </r>
  <r>
    <s v="AMZ10680"/>
    <x v="179"/>
    <s v="2025-03-10"/>
    <s v="Priya"/>
    <x v="8"/>
    <x v="1"/>
    <s v="Tables"/>
    <x v="2"/>
    <s v="Tamil Nadu"/>
    <s v="Chennai"/>
    <x v="2"/>
    <n v="1"/>
    <n v="7225"/>
    <n v="15"/>
    <n v="1434.41"/>
  </r>
  <r>
    <s v="AMZ10681"/>
    <x v="66"/>
    <s v="2025-03-16"/>
    <s v="Rahul"/>
    <x v="0"/>
    <x v="0"/>
    <s v="Computers"/>
    <x v="3"/>
    <s v="Punjab"/>
    <s v="Ludhiana"/>
    <x v="2"/>
    <n v="4"/>
    <n v="198000"/>
    <n v="10"/>
    <n v="16054.53"/>
  </r>
  <r>
    <s v="AMZ10682"/>
    <x v="131"/>
    <s v="2025-03-23"/>
    <s v="Mehul"/>
    <x v="7"/>
    <x v="3"/>
    <s v="Travel"/>
    <x v="0"/>
    <s v="West Bengal"/>
    <s v="Kolkata"/>
    <x v="1"/>
    <n v="1"/>
    <n v="1800"/>
    <n v="0"/>
    <n v="182.28"/>
  </r>
  <r>
    <s v="AMZ10683"/>
    <x v="304"/>
    <s v="2025-10-03"/>
    <s v="Rahul"/>
    <x v="9"/>
    <x v="4"/>
    <s v="Kitchen"/>
    <x v="3"/>
    <s v="Punjab"/>
    <s v="Ludhiana"/>
    <x v="3"/>
    <n v="4"/>
    <n v="1440"/>
    <n v="20"/>
    <n v="122.79"/>
  </r>
  <r>
    <s v="AMZ10684"/>
    <x v="305"/>
    <s v="2025-05-30"/>
    <s v="Neha"/>
    <x v="2"/>
    <x v="0"/>
    <s v="Accessories"/>
    <x v="0"/>
    <s v="West Bengal"/>
    <s v="Kolkata"/>
    <x v="1"/>
    <n v="1"/>
    <n v="1200"/>
    <n v="20"/>
    <n v="156.38999999999999"/>
  </r>
  <r>
    <s v="AMZ10685"/>
    <x v="260"/>
    <s v="2025-09-03"/>
    <s v="Amit"/>
    <x v="8"/>
    <x v="1"/>
    <s v="Tables"/>
    <x v="1"/>
    <s v="Maharashtra"/>
    <s v="Mumbai"/>
    <x v="1"/>
    <n v="3"/>
    <n v="21675"/>
    <n v="15"/>
    <n v="2995.84"/>
  </r>
  <r>
    <s v="AMZ10686"/>
    <x v="151"/>
    <s v="2025-05-30"/>
    <s v="Neha"/>
    <x v="5"/>
    <x v="0"/>
    <s v="Accessories"/>
    <x v="3"/>
    <s v="Punjab"/>
    <s v="Ludhiana"/>
    <x v="2"/>
    <n v="5"/>
    <n v="3600"/>
    <n v="20"/>
    <n v="426.22"/>
  </r>
  <r>
    <s v="AMZ10687"/>
    <x v="220"/>
    <s v="2025-06-19"/>
    <s v="Prem"/>
    <x v="5"/>
    <x v="0"/>
    <s v="Accessories"/>
    <x v="3"/>
    <s v="Delhi"/>
    <s v="New Delhi"/>
    <x v="1"/>
    <n v="5"/>
    <n v="4500"/>
    <n v="0"/>
    <n v="976.89"/>
  </r>
  <r>
    <s v="AMZ10688"/>
    <x v="64"/>
    <s v="2025-08-15"/>
    <s v="Vikas"/>
    <x v="0"/>
    <x v="0"/>
    <s v="Computers"/>
    <x v="3"/>
    <s v="Delhi"/>
    <s v="New Delhi"/>
    <x v="2"/>
    <n v="1"/>
    <n v="46750"/>
    <n v="15"/>
    <n v="6958.25"/>
  </r>
  <r>
    <s v="AMZ10689"/>
    <x v="36"/>
    <s v="2025-09-28"/>
    <s v="Amit"/>
    <x v="6"/>
    <x v="0"/>
    <s v="Accessories"/>
    <x v="1"/>
    <s v="Maharashtra"/>
    <s v="Pune"/>
    <x v="3"/>
    <n v="3"/>
    <n v="6600"/>
    <n v="0"/>
    <n v="1371.87"/>
  </r>
  <r>
    <s v="AMZ10690"/>
    <x v="106"/>
    <s v="2025-10-28"/>
    <s v="Prem"/>
    <x v="0"/>
    <x v="0"/>
    <s v="Computers"/>
    <x v="2"/>
    <s v="Karnataka"/>
    <s v="Bengaluru"/>
    <x v="3"/>
    <n v="3"/>
    <n v="140250"/>
    <n v="15"/>
    <n v="15062.4"/>
  </r>
  <r>
    <s v="AMZ10691"/>
    <x v="43"/>
    <s v="2025-04-24"/>
    <s v="Rahul"/>
    <x v="0"/>
    <x v="0"/>
    <s v="Computers"/>
    <x v="2"/>
    <s v="Karnataka"/>
    <s v="Bengaluru"/>
    <x v="0"/>
    <n v="1"/>
    <n v="46750"/>
    <n v="15"/>
    <n v="8222.75"/>
  </r>
  <r>
    <s v="AMZ10692"/>
    <x v="96"/>
    <s v="2025-09-01"/>
    <s v="Sneha"/>
    <x v="2"/>
    <x v="0"/>
    <s v="Accessories"/>
    <x v="1"/>
    <s v="Maharashtra"/>
    <s v="Pune"/>
    <x v="2"/>
    <n v="4"/>
    <n v="5700"/>
    <n v="5"/>
    <n v="923.33"/>
  </r>
  <r>
    <s v="AMZ10693"/>
    <x v="306"/>
    <s v="2025-11-08"/>
    <s v="Karan"/>
    <x v="3"/>
    <x v="2"/>
    <s v="Stationery"/>
    <x v="3"/>
    <s v="Punjab"/>
    <s v="Ludhiana"/>
    <x v="1"/>
    <n v="2"/>
    <n v="700"/>
    <n v="0"/>
    <n v="89.6"/>
  </r>
  <r>
    <s v="AMZ10694"/>
    <x v="144"/>
    <s v="2025-03-22"/>
    <s v="Neha"/>
    <x v="3"/>
    <x v="2"/>
    <s v="Stationery"/>
    <x v="3"/>
    <s v="Punjab"/>
    <s v="Ludhiana"/>
    <x v="0"/>
    <n v="5"/>
    <n v="1487.5"/>
    <n v="15"/>
    <n v="185.68"/>
  </r>
  <r>
    <s v="AMZ10695"/>
    <x v="299"/>
    <s v="2025-09-15"/>
    <s v="Neha"/>
    <x v="4"/>
    <x v="0"/>
    <s v="Printers"/>
    <x v="1"/>
    <s v="Gujarat"/>
    <s v="Surat"/>
    <x v="3"/>
    <n v="5"/>
    <n v="57000"/>
    <n v="5"/>
    <n v="6987.49"/>
  </r>
  <r>
    <s v="AMZ10696"/>
    <x v="19"/>
    <s v="2025-03-29"/>
    <s v="Rahul"/>
    <x v="6"/>
    <x v="0"/>
    <s v="Accessories"/>
    <x v="2"/>
    <s v="Tamil Nadu"/>
    <s v="Chennai"/>
    <x v="2"/>
    <n v="1"/>
    <n v="1760"/>
    <n v="20"/>
    <n v="324.27999999999997"/>
  </r>
  <r>
    <s v="AMZ10697"/>
    <x v="122"/>
    <s v="2025-12-05"/>
    <s v="Neha"/>
    <x v="8"/>
    <x v="1"/>
    <s v="Tables"/>
    <x v="2"/>
    <s v="Karnataka"/>
    <s v="Bengaluru"/>
    <x v="0"/>
    <n v="5"/>
    <n v="36125"/>
    <n v="15"/>
    <n v="3063.06"/>
  </r>
  <r>
    <s v="AMZ10698"/>
    <x v="167"/>
    <s v="2025-07-26"/>
    <s v="Priya"/>
    <x v="3"/>
    <x v="2"/>
    <s v="Stationery"/>
    <x v="3"/>
    <s v="Punjab"/>
    <s v="Ludhiana"/>
    <x v="0"/>
    <n v="1"/>
    <n v="315"/>
    <n v="10"/>
    <n v="35.42"/>
  </r>
  <r>
    <s v="AMZ10699"/>
    <x v="104"/>
    <s v="2025-02-01"/>
    <s v="Vikas"/>
    <x v="5"/>
    <x v="0"/>
    <s v="Accessories"/>
    <x v="2"/>
    <s v="Karnataka"/>
    <s v="Bengaluru"/>
    <x v="2"/>
    <n v="1"/>
    <n v="900"/>
    <n v="0"/>
    <n v="134.02000000000001"/>
  </r>
  <r>
    <s v="AMZ10700"/>
    <x v="269"/>
    <s v="2025-08-02"/>
    <s v="Neha"/>
    <x v="0"/>
    <x v="0"/>
    <s v="Computers"/>
    <x v="1"/>
    <s v="Maharashtra"/>
    <s v="Mumbai"/>
    <x v="0"/>
    <n v="1"/>
    <n v="44000"/>
    <n v="20"/>
    <n v="8259.35"/>
  </r>
  <r>
    <s v="AMZ10701"/>
    <x v="305"/>
    <s v="2025-06-05"/>
    <s v="Amit"/>
    <x v="3"/>
    <x v="2"/>
    <s v="Stationery"/>
    <x v="1"/>
    <s v="Maharashtra"/>
    <s v="Pune"/>
    <x v="1"/>
    <n v="5"/>
    <n v="1575"/>
    <n v="10"/>
    <n v="166.13"/>
  </r>
  <r>
    <s v="AMZ10702"/>
    <x v="32"/>
    <s v="2025-02-19"/>
    <s v="Karan"/>
    <x v="7"/>
    <x v="3"/>
    <s v="Travel"/>
    <x v="0"/>
    <s v="Odisha"/>
    <s v="Bhubaneswar"/>
    <x v="1"/>
    <n v="1"/>
    <n v="1710"/>
    <n v="5"/>
    <n v="310.92"/>
  </r>
  <r>
    <s v="AMZ10703"/>
    <x v="158"/>
    <s v="2025-08-16"/>
    <s v="Prem"/>
    <x v="3"/>
    <x v="2"/>
    <s v="Stationery"/>
    <x v="0"/>
    <s v="West Bengal"/>
    <s v="Kolkata"/>
    <x v="3"/>
    <n v="1"/>
    <n v="315"/>
    <n v="10"/>
    <n v="55.71"/>
  </r>
  <r>
    <s v="AMZ10704"/>
    <x v="307"/>
    <s v="2025-01-28"/>
    <s v="Riya"/>
    <x v="9"/>
    <x v="4"/>
    <s v="Kitchen"/>
    <x v="3"/>
    <s v="Delhi"/>
    <s v="New Delhi"/>
    <x v="1"/>
    <n v="3"/>
    <n v="1282.5"/>
    <n v="5"/>
    <n v="271.79000000000002"/>
  </r>
  <r>
    <s v="AMZ10705"/>
    <x v="308"/>
    <s v="2025-08-23"/>
    <s v="Rahul"/>
    <x v="2"/>
    <x v="0"/>
    <s v="Accessories"/>
    <x v="3"/>
    <s v="Punjab"/>
    <s v="Ludhiana"/>
    <x v="2"/>
    <n v="1"/>
    <n v="1500"/>
    <n v="0"/>
    <n v="241.7"/>
  </r>
  <r>
    <s v="AMZ10706"/>
    <x v="262"/>
    <s v="2025-07-28"/>
    <s v="Vikas"/>
    <x v="8"/>
    <x v="1"/>
    <s v="Tables"/>
    <x v="3"/>
    <s v="Punjab"/>
    <s v="Ludhiana"/>
    <x v="2"/>
    <n v="4"/>
    <n v="30600"/>
    <n v="10"/>
    <n v="5987.79"/>
  </r>
  <r>
    <s v="AMZ10707"/>
    <x v="272"/>
    <s v="2025-04-29"/>
    <s v="Amit"/>
    <x v="8"/>
    <x v="1"/>
    <s v="Tables"/>
    <x v="1"/>
    <s v="Gujarat"/>
    <s v="Surat"/>
    <x v="2"/>
    <n v="4"/>
    <n v="27200"/>
    <n v="20"/>
    <n v="4280.62"/>
  </r>
  <r>
    <s v="AMZ10708"/>
    <x v="121"/>
    <s v="2025-07-22"/>
    <s v="Karan"/>
    <x v="1"/>
    <x v="1"/>
    <s v="Chairs"/>
    <x v="1"/>
    <s v="Gujarat"/>
    <s v="Surat"/>
    <x v="2"/>
    <n v="3"/>
    <n v="19500"/>
    <n v="0"/>
    <n v="3094.55"/>
  </r>
  <r>
    <s v="AMZ10709"/>
    <x v="112"/>
    <s v="2025-01-11"/>
    <s v="Riya"/>
    <x v="8"/>
    <x v="1"/>
    <s v="Tables"/>
    <x v="2"/>
    <s v="Tamil Nadu"/>
    <s v="Chennai"/>
    <x v="1"/>
    <n v="2"/>
    <n v="17000"/>
    <n v="0"/>
    <n v="1974.71"/>
  </r>
  <r>
    <s v="AMZ10710"/>
    <x v="290"/>
    <s v="2025-06-12"/>
    <s v="Riya"/>
    <x v="9"/>
    <x v="4"/>
    <s v="Kitchen"/>
    <x v="3"/>
    <s v="Delhi"/>
    <s v="New Delhi"/>
    <x v="2"/>
    <n v="2"/>
    <n v="855"/>
    <n v="5"/>
    <n v="100.11"/>
  </r>
  <r>
    <s v="AMZ10711"/>
    <x v="37"/>
    <s v="2025-08-18"/>
    <s v="Rahul"/>
    <x v="8"/>
    <x v="1"/>
    <s v="Tables"/>
    <x v="3"/>
    <s v="Delhi"/>
    <s v="New Delhi"/>
    <x v="1"/>
    <n v="2"/>
    <n v="15300"/>
    <n v="10"/>
    <n v="2886.34"/>
  </r>
  <r>
    <s v="AMZ10712"/>
    <x v="145"/>
    <s v="2025-08-17"/>
    <s v="Riya"/>
    <x v="4"/>
    <x v="0"/>
    <s v="Printers"/>
    <x v="3"/>
    <s v="Punjab"/>
    <s v="Ludhiana"/>
    <x v="3"/>
    <n v="2"/>
    <n v="20400"/>
    <n v="15"/>
    <n v="3199.22"/>
  </r>
  <r>
    <s v="AMZ10713"/>
    <x v="130"/>
    <s v="2025-01-15"/>
    <s v="Sneha"/>
    <x v="5"/>
    <x v="0"/>
    <s v="Accessories"/>
    <x v="2"/>
    <s v="Karnataka"/>
    <s v="Bengaluru"/>
    <x v="1"/>
    <n v="3"/>
    <n v="2700"/>
    <n v="0"/>
    <n v="450.67"/>
  </r>
  <r>
    <s v="AMZ10714"/>
    <x v="166"/>
    <s v="2025-02-23"/>
    <s v="Mehul"/>
    <x v="0"/>
    <x v="0"/>
    <s v="Computers"/>
    <x v="3"/>
    <s v="Punjab"/>
    <s v="Ludhiana"/>
    <x v="0"/>
    <n v="5"/>
    <n v="275000"/>
    <n v="0"/>
    <n v="40202.19"/>
  </r>
  <r>
    <s v="AMZ10715"/>
    <x v="309"/>
    <s v="2025-09-20"/>
    <s v="Karan"/>
    <x v="3"/>
    <x v="2"/>
    <s v="Stationery"/>
    <x v="3"/>
    <s v="Delhi"/>
    <s v="New Delhi"/>
    <x v="2"/>
    <n v="4"/>
    <n v="1190"/>
    <n v="15"/>
    <n v="139.66"/>
  </r>
  <r>
    <s v="AMZ10716"/>
    <x v="72"/>
    <s v="2025-12-02"/>
    <s v="Riya"/>
    <x v="4"/>
    <x v="0"/>
    <s v="Printers"/>
    <x v="2"/>
    <s v="Tamil Nadu"/>
    <s v="Chennai"/>
    <x v="3"/>
    <n v="4"/>
    <n v="48000"/>
    <n v="0"/>
    <n v="7855.57"/>
  </r>
  <r>
    <s v="AMZ10717"/>
    <x v="310"/>
    <s v="2025-05-10"/>
    <s v="Priya"/>
    <x v="6"/>
    <x v="0"/>
    <s v="Accessories"/>
    <x v="1"/>
    <s v="Maharashtra"/>
    <s v="Pune"/>
    <x v="0"/>
    <n v="3"/>
    <n v="5940"/>
    <n v="10"/>
    <n v="659.14"/>
  </r>
  <r>
    <s v="AMZ10718"/>
    <x v="210"/>
    <s v="2025-05-16"/>
    <s v="Prem"/>
    <x v="1"/>
    <x v="1"/>
    <s v="Chairs"/>
    <x v="0"/>
    <s v="West Bengal"/>
    <s v="Kolkata"/>
    <x v="0"/>
    <n v="3"/>
    <n v="15600"/>
    <n v="20"/>
    <n v="1366.3"/>
  </r>
  <r>
    <s v="AMZ10719"/>
    <x v="311"/>
    <s v="2025-11-17"/>
    <s v="Amit"/>
    <x v="6"/>
    <x v="0"/>
    <s v="Accessories"/>
    <x v="0"/>
    <s v="West Bengal"/>
    <s v="Kolkata"/>
    <x v="2"/>
    <n v="3"/>
    <n v="5940"/>
    <n v="10"/>
    <n v="640.04"/>
  </r>
  <r>
    <s v="AMZ10720"/>
    <x v="97"/>
    <s v="2025-08-25"/>
    <s v="Vikas"/>
    <x v="4"/>
    <x v="0"/>
    <s v="Printers"/>
    <x v="1"/>
    <s v="Maharashtra"/>
    <s v="Mumbai"/>
    <x v="2"/>
    <n v="4"/>
    <n v="45600"/>
    <n v="5"/>
    <n v="9310.91"/>
  </r>
  <r>
    <s v="AMZ10721"/>
    <x v="192"/>
    <s v="2025-07-14"/>
    <s v="Riya"/>
    <x v="1"/>
    <x v="1"/>
    <s v="Chairs"/>
    <x v="0"/>
    <s v="West Bengal"/>
    <s v="Kolkata"/>
    <x v="3"/>
    <n v="3"/>
    <n v="18525"/>
    <n v="5"/>
    <n v="1755.94"/>
  </r>
  <r>
    <s v="AMZ10722"/>
    <x v="61"/>
    <s v="2025-10-18"/>
    <s v="Vikas"/>
    <x v="3"/>
    <x v="2"/>
    <s v="Stationery"/>
    <x v="1"/>
    <s v="Maharashtra"/>
    <s v="Mumbai"/>
    <x v="3"/>
    <n v="1"/>
    <n v="315"/>
    <n v="10"/>
    <n v="59.98"/>
  </r>
  <r>
    <s v="AMZ10723"/>
    <x v="238"/>
    <s v="2025-07-06"/>
    <s v="Neha"/>
    <x v="3"/>
    <x v="2"/>
    <s v="Stationery"/>
    <x v="2"/>
    <s v="Karnataka"/>
    <s v="Bengaluru"/>
    <x v="2"/>
    <n v="2"/>
    <n v="700"/>
    <n v="0"/>
    <n v="128.08000000000001"/>
  </r>
  <r>
    <s v="AMZ10724"/>
    <x v="265"/>
    <s v="2025-11-15"/>
    <s v="Mehul"/>
    <x v="3"/>
    <x v="2"/>
    <s v="Stationery"/>
    <x v="3"/>
    <s v="Delhi"/>
    <s v="New Delhi"/>
    <x v="3"/>
    <n v="1"/>
    <n v="315"/>
    <n v="10"/>
    <n v="44.22"/>
  </r>
  <r>
    <s v="AMZ10725"/>
    <x v="286"/>
    <s v="2025-11-06"/>
    <s v="Neha"/>
    <x v="6"/>
    <x v="0"/>
    <s v="Accessories"/>
    <x v="1"/>
    <s v="Maharashtra"/>
    <s v="Pune"/>
    <x v="0"/>
    <n v="5"/>
    <n v="9900"/>
    <n v="10"/>
    <n v="2002.48"/>
  </r>
  <r>
    <s v="AMZ10726"/>
    <x v="312"/>
    <s v="2025-12-21"/>
    <s v="Neha"/>
    <x v="3"/>
    <x v="2"/>
    <s v="Stationery"/>
    <x v="2"/>
    <s v="Karnataka"/>
    <s v="Bengaluru"/>
    <x v="0"/>
    <n v="5"/>
    <n v="1662.5"/>
    <n v="5"/>
    <n v="276.38"/>
  </r>
  <r>
    <s v="AMZ10727"/>
    <x v="220"/>
    <s v="2025-06-17"/>
    <s v="Mehul"/>
    <x v="4"/>
    <x v="0"/>
    <s v="Printers"/>
    <x v="1"/>
    <s v="Gujarat"/>
    <s v="Surat"/>
    <x v="0"/>
    <n v="3"/>
    <n v="30600"/>
    <n v="15"/>
    <n v="4635.26"/>
  </r>
  <r>
    <s v="AMZ10728"/>
    <x v="293"/>
    <s v="2025-06-30"/>
    <s v="Sneha"/>
    <x v="7"/>
    <x v="3"/>
    <s v="Travel"/>
    <x v="0"/>
    <s v="Odisha"/>
    <s v="Bhubaneswar"/>
    <x v="3"/>
    <n v="5"/>
    <n v="8550"/>
    <n v="5"/>
    <n v="1628.22"/>
  </r>
  <r>
    <s v="AMZ10729"/>
    <x v="103"/>
    <s v="2025-06-03"/>
    <s v="Sneha"/>
    <x v="4"/>
    <x v="0"/>
    <s v="Printers"/>
    <x v="0"/>
    <s v="Odisha"/>
    <s v="Bhubaneswar"/>
    <x v="2"/>
    <n v="5"/>
    <n v="57000"/>
    <n v="5"/>
    <n v="10385.23"/>
  </r>
  <r>
    <s v="AMZ10730"/>
    <x v="313"/>
    <s v="2025-02-16"/>
    <s v="Karan"/>
    <x v="3"/>
    <x v="2"/>
    <s v="Stationery"/>
    <x v="3"/>
    <s v="Delhi"/>
    <s v="New Delhi"/>
    <x v="2"/>
    <n v="1"/>
    <n v="297.5"/>
    <n v="15"/>
    <n v="60.17"/>
  </r>
  <r>
    <s v="AMZ10731"/>
    <x v="260"/>
    <s v="2025-09-02"/>
    <s v="Mehul"/>
    <x v="7"/>
    <x v="3"/>
    <s v="Travel"/>
    <x v="0"/>
    <s v="Odisha"/>
    <s v="Bhubaneswar"/>
    <x v="2"/>
    <n v="2"/>
    <n v="3060"/>
    <n v="15"/>
    <n v="460.45"/>
  </r>
  <r>
    <s v="AMZ10732"/>
    <x v="241"/>
    <s v="2025-10-16"/>
    <s v="Rahul"/>
    <x v="8"/>
    <x v="1"/>
    <s v="Tables"/>
    <x v="1"/>
    <s v="Gujarat"/>
    <s v="Surat"/>
    <x v="2"/>
    <n v="1"/>
    <n v="8075"/>
    <n v="5"/>
    <n v="1394.51"/>
  </r>
  <r>
    <s v="AMZ10733"/>
    <x v="251"/>
    <s v="2025-03-13"/>
    <s v="Sneha"/>
    <x v="6"/>
    <x v="0"/>
    <s v="Accessories"/>
    <x v="0"/>
    <s v="Odisha"/>
    <s v="Bhubaneswar"/>
    <x v="3"/>
    <n v="3"/>
    <n v="5610"/>
    <n v="15"/>
    <n v="1085.3699999999999"/>
  </r>
  <r>
    <s v="AMZ10734"/>
    <x v="314"/>
    <s v="2025-11-18"/>
    <s v="Priya"/>
    <x v="0"/>
    <x v="0"/>
    <s v="Computers"/>
    <x v="3"/>
    <s v="Delhi"/>
    <s v="New Delhi"/>
    <x v="0"/>
    <n v="5"/>
    <n v="220000"/>
    <n v="20"/>
    <n v="25595.98"/>
  </r>
  <r>
    <s v="AMZ10735"/>
    <x v="192"/>
    <s v="2025-07-15"/>
    <s v="Karan"/>
    <x v="8"/>
    <x v="1"/>
    <s v="Tables"/>
    <x v="1"/>
    <s v="Gujarat"/>
    <s v="Surat"/>
    <x v="3"/>
    <n v="3"/>
    <n v="20400"/>
    <n v="20"/>
    <n v="4322.07"/>
  </r>
  <r>
    <s v="AMZ10736"/>
    <x v="91"/>
    <s v="2025-02-16"/>
    <s v="Priya"/>
    <x v="0"/>
    <x v="0"/>
    <s v="Computers"/>
    <x v="3"/>
    <s v="Punjab"/>
    <s v="Ludhiana"/>
    <x v="2"/>
    <n v="2"/>
    <n v="99000"/>
    <n v="10"/>
    <n v="17358.39"/>
  </r>
  <r>
    <s v="AMZ10737"/>
    <x v="57"/>
    <s v="2025-04-26"/>
    <s v="Priya"/>
    <x v="9"/>
    <x v="4"/>
    <s v="Kitchen"/>
    <x v="2"/>
    <s v="Karnataka"/>
    <s v="Bengaluru"/>
    <x v="0"/>
    <n v="5"/>
    <n v="1800"/>
    <n v="20"/>
    <n v="287.31"/>
  </r>
  <r>
    <s v="AMZ10738"/>
    <x v="223"/>
    <s v="2025-09-11"/>
    <s v="Priya"/>
    <x v="4"/>
    <x v="0"/>
    <s v="Printers"/>
    <x v="0"/>
    <s v="Odisha"/>
    <s v="Bhubaneswar"/>
    <x v="1"/>
    <n v="3"/>
    <n v="30600"/>
    <n v="15"/>
    <n v="4614.99"/>
  </r>
  <r>
    <s v="AMZ10739"/>
    <x v="271"/>
    <s v="2025-06-19"/>
    <s v="Mehul"/>
    <x v="1"/>
    <x v="1"/>
    <s v="Chairs"/>
    <x v="2"/>
    <s v="Tamil Nadu"/>
    <s v="Chennai"/>
    <x v="1"/>
    <n v="5"/>
    <n v="29250"/>
    <n v="10"/>
    <n v="4641.67"/>
  </r>
  <r>
    <s v="AMZ10740"/>
    <x v="39"/>
    <s v="2025-10-21"/>
    <s v="Rahul"/>
    <x v="0"/>
    <x v="0"/>
    <s v="Computers"/>
    <x v="3"/>
    <s v="Punjab"/>
    <s v="Ludhiana"/>
    <x v="0"/>
    <n v="3"/>
    <n v="132000"/>
    <n v="20"/>
    <n v="25711.09"/>
  </r>
  <r>
    <s v="AMZ10741"/>
    <x v="203"/>
    <s v="2025-01-31"/>
    <s v="Amit"/>
    <x v="7"/>
    <x v="3"/>
    <s v="Travel"/>
    <x v="1"/>
    <s v="Gujarat"/>
    <s v="Surat"/>
    <x v="3"/>
    <n v="2"/>
    <n v="2880"/>
    <n v="20"/>
    <n v="244.88"/>
  </r>
  <r>
    <s v="AMZ10742"/>
    <x v="48"/>
    <s v="2025-11-15"/>
    <s v="Prem"/>
    <x v="9"/>
    <x v="4"/>
    <s v="Kitchen"/>
    <x v="1"/>
    <s v="Gujarat"/>
    <s v="Surat"/>
    <x v="1"/>
    <n v="4"/>
    <n v="1620"/>
    <n v="10"/>
    <n v="139.13"/>
  </r>
  <r>
    <s v="AMZ10743"/>
    <x v="122"/>
    <s v="2025-12-08"/>
    <s v="Sneha"/>
    <x v="6"/>
    <x v="0"/>
    <s v="Accessories"/>
    <x v="0"/>
    <s v="Odisha"/>
    <s v="Bhubaneswar"/>
    <x v="3"/>
    <n v="1"/>
    <n v="1980"/>
    <n v="10"/>
    <n v="428.15"/>
  </r>
  <r>
    <s v="AMZ10744"/>
    <x v="185"/>
    <s v="2025-01-12"/>
    <s v="Mehul"/>
    <x v="0"/>
    <x v="0"/>
    <s v="Computers"/>
    <x v="1"/>
    <s v="Maharashtra"/>
    <s v="Mumbai"/>
    <x v="2"/>
    <n v="5"/>
    <n v="220000"/>
    <n v="20"/>
    <n v="42756.81"/>
  </r>
  <r>
    <s v="AMZ10745"/>
    <x v="220"/>
    <s v="2025-06-22"/>
    <s v="Neha"/>
    <x v="0"/>
    <x v="0"/>
    <s v="Computers"/>
    <x v="3"/>
    <s v="Delhi"/>
    <s v="New Delhi"/>
    <x v="3"/>
    <n v="4"/>
    <n v="209000"/>
    <n v="5"/>
    <n v="23038.03"/>
  </r>
  <r>
    <s v="AMZ10746"/>
    <x v="80"/>
    <s v="2025-01-13"/>
    <s v="Neha"/>
    <x v="5"/>
    <x v="0"/>
    <s v="Accessories"/>
    <x v="3"/>
    <s v="Delhi"/>
    <s v="New Delhi"/>
    <x v="0"/>
    <n v="3"/>
    <n v="2700"/>
    <n v="0"/>
    <n v="461.48"/>
  </r>
  <r>
    <s v="AMZ10747"/>
    <x v="90"/>
    <s v="2025-01-25"/>
    <s v="Mehul"/>
    <x v="6"/>
    <x v="0"/>
    <s v="Accessories"/>
    <x v="3"/>
    <s v="Delhi"/>
    <s v="New Delhi"/>
    <x v="3"/>
    <n v="5"/>
    <n v="8800"/>
    <n v="20"/>
    <n v="1022.01"/>
  </r>
  <r>
    <s v="AMZ10748"/>
    <x v="307"/>
    <s v="2025-01-27"/>
    <s v="Rahul"/>
    <x v="6"/>
    <x v="0"/>
    <s v="Accessories"/>
    <x v="2"/>
    <s v="Karnataka"/>
    <s v="Bengaluru"/>
    <x v="1"/>
    <n v="3"/>
    <n v="5280"/>
    <n v="20"/>
    <n v="715.72"/>
  </r>
  <r>
    <s v="AMZ10749"/>
    <x v="315"/>
    <s v="2025-06-30"/>
    <s v="Mehul"/>
    <x v="1"/>
    <x v="1"/>
    <s v="Chairs"/>
    <x v="1"/>
    <s v="Gujarat"/>
    <s v="Surat"/>
    <x v="2"/>
    <n v="1"/>
    <n v="6175"/>
    <n v="5"/>
    <n v="511.12"/>
  </r>
  <r>
    <s v="AMZ10750"/>
    <x v="277"/>
    <s v="2025-03-10"/>
    <s v="Rahul"/>
    <x v="6"/>
    <x v="0"/>
    <s v="Accessories"/>
    <x v="1"/>
    <s v="Maharashtra"/>
    <s v="Pune"/>
    <x v="2"/>
    <n v="4"/>
    <n v="7920"/>
    <n v="10"/>
    <n v="1311.72"/>
  </r>
  <r>
    <s v="AMZ10751"/>
    <x v="130"/>
    <s v="2025-01-11"/>
    <s v="Neha"/>
    <x v="9"/>
    <x v="4"/>
    <s v="Kitchen"/>
    <x v="0"/>
    <s v="West Bengal"/>
    <s v="Kolkata"/>
    <x v="1"/>
    <n v="2"/>
    <n v="900"/>
    <n v="0"/>
    <n v="92.03"/>
  </r>
  <r>
    <s v="AMZ10752"/>
    <x v="29"/>
    <s v="2025-05-22"/>
    <s v="Priya"/>
    <x v="1"/>
    <x v="1"/>
    <s v="Chairs"/>
    <x v="1"/>
    <s v="Maharashtra"/>
    <s v="Pune"/>
    <x v="3"/>
    <n v="5"/>
    <n v="29250"/>
    <n v="10"/>
    <n v="2852"/>
  </r>
  <r>
    <s v="AMZ10753"/>
    <x v="245"/>
    <s v="2025-11-13"/>
    <s v="Mehul"/>
    <x v="3"/>
    <x v="2"/>
    <s v="Stationery"/>
    <x v="3"/>
    <s v="Delhi"/>
    <s v="New Delhi"/>
    <x v="1"/>
    <n v="1"/>
    <n v="280"/>
    <n v="20"/>
    <n v="35.99"/>
  </r>
  <r>
    <s v="AMZ10754"/>
    <x v="164"/>
    <s v="2025-03-28"/>
    <s v="Amit"/>
    <x v="1"/>
    <x v="1"/>
    <s v="Chairs"/>
    <x v="3"/>
    <s v="Delhi"/>
    <s v="New Delhi"/>
    <x v="0"/>
    <n v="5"/>
    <n v="32500"/>
    <n v="0"/>
    <n v="6732.65"/>
  </r>
  <r>
    <s v="AMZ10755"/>
    <x v="135"/>
    <s v="2025-08-29"/>
    <s v="Mehul"/>
    <x v="8"/>
    <x v="1"/>
    <s v="Tables"/>
    <x v="2"/>
    <s v="Karnataka"/>
    <s v="Bengaluru"/>
    <x v="3"/>
    <n v="2"/>
    <n v="14450"/>
    <n v="15"/>
    <n v="1337.01"/>
  </r>
  <r>
    <s v="AMZ10756"/>
    <x v="316"/>
    <s v="2025-05-15"/>
    <s v="Riya"/>
    <x v="0"/>
    <x v="0"/>
    <s v="Computers"/>
    <x v="2"/>
    <s v="Tamil Nadu"/>
    <s v="Chennai"/>
    <x v="0"/>
    <n v="5"/>
    <n v="247500"/>
    <n v="10"/>
    <n v="46381.71"/>
  </r>
  <r>
    <s v="AMZ10757"/>
    <x v="116"/>
    <s v="2025-09-20"/>
    <s v="Rahul"/>
    <x v="3"/>
    <x v="2"/>
    <s v="Stationery"/>
    <x v="3"/>
    <s v="Delhi"/>
    <s v="New Delhi"/>
    <x v="2"/>
    <n v="5"/>
    <n v="1400"/>
    <n v="20"/>
    <n v="245.08"/>
  </r>
  <r>
    <s v="AMZ10758"/>
    <x v="54"/>
    <s v="2025-10-19"/>
    <s v="Amit"/>
    <x v="0"/>
    <x v="0"/>
    <s v="Computers"/>
    <x v="3"/>
    <s v="Punjab"/>
    <s v="Ludhiana"/>
    <x v="0"/>
    <n v="1"/>
    <n v="46750"/>
    <n v="15"/>
    <n v="7168.81"/>
  </r>
  <r>
    <s v="AMZ10759"/>
    <x v="57"/>
    <s v="2025-04-29"/>
    <s v="Sneha"/>
    <x v="8"/>
    <x v="1"/>
    <s v="Tables"/>
    <x v="0"/>
    <s v="West Bengal"/>
    <s v="Kolkata"/>
    <x v="2"/>
    <n v="4"/>
    <n v="28900"/>
    <n v="15"/>
    <n v="2634.14"/>
  </r>
  <r>
    <s v="AMZ10760"/>
    <x v="224"/>
    <s v="2025-04-13"/>
    <s v="Mehul"/>
    <x v="8"/>
    <x v="1"/>
    <s v="Tables"/>
    <x v="3"/>
    <s v="Delhi"/>
    <s v="New Delhi"/>
    <x v="3"/>
    <n v="2"/>
    <n v="16150"/>
    <n v="5"/>
    <n v="2919.18"/>
  </r>
  <r>
    <s v="AMZ10761"/>
    <x v="256"/>
    <s v="2025-09-24"/>
    <s v="Riya"/>
    <x v="2"/>
    <x v="0"/>
    <s v="Accessories"/>
    <x v="0"/>
    <s v="West Bengal"/>
    <s v="Kolkata"/>
    <x v="0"/>
    <n v="4"/>
    <n v="5100"/>
    <n v="15"/>
    <n v="840.33"/>
  </r>
  <r>
    <s v="AMZ10762"/>
    <x v="97"/>
    <s v="2025-08-24"/>
    <s v="Prem"/>
    <x v="6"/>
    <x v="0"/>
    <s v="Accessories"/>
    <x v="2"/>
    <s v="Karnataka"/>
    <s v="Bengaluru"/>
    <x v="0"/>
    <n v="4"/>
    <n v="7920"/>
    <n v="10"/>
    <n v="933.57"/>
  </r>
  <r>
    <s v="AMZ10763"/>
    <x v="309"/>
    <s v="2025-09-23"/>
    <s v="Priya"/>
    <x v="4"/>
    <x v="0"/>
    <s v="Printers"/>
    <x v="2"/>
    <s v="Karnataka"/>
    <s v="Bengaluru"/>
    <x v="3"/>
    <n v="2"/>
    <n v="19200"/>
    <n v="20"/>
    <n v="3022.87"/>
  </r>
  <r>
    <s v="AMZ10764"/>
    <x v="246"/>
    <s v="2026-01-05"/>
    <s v="Prem"/>
    <x v="8"/>
    <x v="1"/>
    <s v="Tables"/>
    <x v="3"/>
    <s v="Punjab"/>
    <s v="Ludhiana"/>
    <x v="1"/>
    <n v="4"/>
    <n v="27200"/>
    <n v="20"/>
    <n v="2393.5700000000002"/>
  </r>
  <r>
    <s v="AMZ10765"/>
    <x v="73"/>
    <s v="2025-12-05"/>
    <s v="Prem"/>
    <x v="8"/>
    <x v="1"/>
    <s v="Tables"/>
    <x v="3"/>
    <s v="Delhi"/>
    <s v="New Delhi"/>
    <x v="3"/>
    <n v="2"/>
    <n v="16150"/>
    <n v="5"/>
    <n v="1476.6"/>
  </r>
  <r>
    <s v="AMZ10766"/>
    <x v="257"/>
    <s v="2025-12-01"/>
    <s v="Amit"/>
    <x v="2"/>
    <x v="0"/>
    <s v="Accessories"/>
    <x v="1"/>
    <s v="Maharashtra"/>
    <s v="Mumbai"/>
    <x v="3"/>
    <n v="4"/>
    <n v="6000"/>
    <n v="0"/>
    <n v="1313.65"/>
  </r>
  <r>
    <s v="AMZ10767"/>
    <x v="135"/>
    <s v="2025-08-26"/>
    <s v="Vikas"/>
    <x v="3"/>
    <x v="2"/>
    <s v="Stationery"/>
    <x v="0"/>
    <s v="West Bengal"/>
    <s v="Kolkata"/>
    <x v="1"/>
    <n v="2"/>
    <n v="560"/>
    <n v="20"/>
    <n v="54.11"/>
  </r>
  <r>
    <s v="AMZ10768"/>
    <x v="41"/>
    <s v="2025-11-30"/>
    <s v="Prem"/>
    <x v="8"/>
    <x v="1"/>
    <s v="Tables"/>
    <x v="3"/>
    <s v="Punjab"/>
    <s v="Ludhiana"/>
    <x v="2"/>
    <n v="1"/>
    <n v="6800"/>
    <n v="20"/>
    <n v="784.35"/>
  </r>
  <r>
    <s v="AMZ10769"/>
    <x v="317"/>
    <s v="2025-09-03"/>
    <s v="Rahul"/>
    <x v="1"/>
    <x v="1"/>
    <s v="Chairs"/>
    <x v="3"/>
    <s v="Delhi"/>
    <s v="New Delhi"/>
    <x v="2"/>
    <n v="4"/>
    <n v="20800"/>
    <n v="20"/>
    <n v="1860.22"/>
  </r>
  <r>
    <s v="AMZ10770"/>
    <x v="250"/>
    <s v="2025-09-05"/>
    <s v="Prem"/>
    <x v="4"/>
    <x v="0"/>
    <s v="Printers"/>
    <x v="3"/>
    <s v="Punjab"/>
    <s v="Ludhiana"/>
    <x v="0"/>
    <n v="4"/>
    <n v="45600"/>
    <n v="5"/>
    <n v="8775.2999999999993"/>
  </r>
  <r>
    <s v="AMZ10771"/>
    <x v="121"/>
    <s v="2025-07-20"/>
    <s v="Amit"/>
    <x v="3"/>
    <x v="2"/>
    <s v="Stationery"/>
    <x v="3"/>
    <s v="Delhi"/>
    <s v="New Delhi"/>
    <x v="0"/>
    <n v="1"/>
    <n v="350"/>
    <n v="0"/>
    <n v="29.65"/>
  </r>
  <r>
    <s v="AMZ10772"/>
    <x v="318"/>
    <s v="2025-06-24"/>
    <s v="Karan"/>
    <x v="4"/>
    <x v="0"/>
    <s v="Printers"/>
    <x v="0"/>
    <s v="West Bengal"/>
    <s v="Kolkata"/>
    <x v="2"/>
    <n v="5"/>
    <n v="60000"/>
    <n v="0"/>
    <n v="5444.26"/>
  </r>
  <r>
    <s v="AMZ10773"/>
    <x v="290"/>
    <s v="2025-06-12"/>
    <s v="Sneha"/>
    <x v="5"/>
    <x v="0"/>
    <s v="Accessories"/>
    <x v="0"/>
    <s v="West Bengal"/>
    <s v="Kolkata"/>
    <x v="0"/>
    <n v="5"/>
    <n v="3600"/>
    <n v="20"/>
    <n v="409.83"/>
  </r>
  <r>
    <s v="AMZ10774"/>
    <x v="286"/>
    <s v="2025-11-08"/>
    <s v="Mehul"/>
    <x v="6"/>
    <x v="0"/>
    <s v="Accessories"/>
    <x v="3"/>
    <s v="Punjab"/>
    <s v="Ludhiana"/>
    <x v="3"/>
    <n v="1"/>
    <n v="2200"/>
    <n v="0"/>
    <n v="457.49"/>
  </r>
  <r>
    <s v="AMZ10775"/>
    <x v="16"/>
    <s v="2025-05-09"/>
    <s v="Priya"/>
    <x v="2"/>
    <x v="0"/>
    <s v="Accessories"/>
    <x v="2"/>
    <s v="Karnataka"/>
    <s v="Bengaluru"/>
    <x v="2"/>
    <n v="1"/>
    <n v="1200"/>
    <n v="20"/>
    <n v="154.33000000000001"/>
  </r>
  <r>
    <s v="AMZ10776"/>
    <x v="5"/>
    <s v="2025-12-19"/>
    <s v="Mehul"/>
    <x v="4"/>
    <x v="0"/>
    <s v="Printers"/>
    <x v="0"/>
    <s v="Odisha"/>
    <s v="Bhubaneswar"/>
    <x v="3"/>
    <n v="1"/>
    <n v="10800"/>
    <n v="10"/>
    <n v="2260.9499999999998"/>
  </r>
  <r>
    <s v="AMZ10777"/>
    <x v="270"/>
    <s v="2025-01-17"/>
    <s v="Karan"/>
    <x v="1"/>
    <x v="1"/>
    <s v="Chairs"/>
    <x v="0"/>
    <s v="Odisha"/>
    <s v="Bhubaneswar"/>
    <x v="1"/>
    <n v="5"/>
    <n v="27625"/>
    <n v="15"/>
    <n v="4152.05"/>
  </r>
  <r>
    <s v="AMZ10778"/>
    <x v="319"/>
    <s v="2026-01-03"/>
    <s v="Prem"/>
    <x v="6"/>
    <x v="0"/>
    <s v="Accessories"/>
    <x v="1"/>
    <s v="Maharashtra"/>
    <s v="Pune"/>
    <x v="0"/>
    <n v="2"/>
    <n v="3520"/>
    <n v="20"/>
    <n v="491.93"/>
  </r>
  <r>
    <s v="AMZ10779"/>
    <x v="211"/>
    <s v="2025-08-08"/>
    <s v="Neha"/>
    <x v="1"/>
    <x v="1"/>
    <s v="Chairs"/>
    <x v="1"/>
    <s v="Gujarat"/>
    <s v="Surat"/>
    <x v="1"/>
    <n v="1"/>
    <n v="5525"/>
    <n v="15"/>
    <n v="966.84"/>
  </r>
  <r>
    <s v="AMZ10780"/>
    <x v="265"/>
    <s v="2025-11-19"/>
    <s v="Priya"/>
    <x v="8"/>
    <x v="1"/>
    <s v="Tables"/>
    <x v="0"/>
    <s v="West Bengal"/>
    <s v="Kolkata"/>
    <x v="0"/>
    <n v="3"/>
    <n v="25500"/>
    <n v="0"/>
    <n v="5490.96"/>
  </r>
  <r>
    <s v="AMZ10781"/>
    <x v="95"/>
    <s v="2025-11-14"/>
    <s v="Priya"/>
    <x v="9"/>
    <x v="4"/>
    <s v="Kitchen"/>
    <x v="1"/>
    <s v="Maharashtra"/>
    <s v="Mumbai"/>
    <x v="2"/>
    <n v="2"/>
    <n v="900"/>
    <n v="0"/>
    <n v="120.06"/>
  </r>
  <r>
    <s v="AMZ10782"/>
    <x v="35"/>
    <s v="2025-11-10"/>
    <s v="Vikas"/>
    <x v="6"/>
    <x v="0"/>
    <s v="Accessories"/>
    <x v="3"/>
    <s v="Delhi"/>
    <s v="New Delhi"/>
    <x v="2"/>
    <n v="2"/>
    <n v="3960"/>
    <n v="10"/>
    <n v="526.24"/>
  </r>
  <r>
    <s v="AMZ10783"/>
    <x v="208"/>
    <s v="2025-05-28"/>
    <s v="Mehul"/>
    <x v="3"/>
    <x v="2"/>
    <s v="Stationery"/>
    <x v="0"/>
    <s v="Odisha"/>
    <s v="Bhubaneswar"/>
    <x v="1"/>
    <n v="5"/>
    <n v="1662.5"/>
    <n v="5"/>
    <n v="353.34"/>
  </r>
  <r>
    <s v="AMZ10784"/>
    <x v="63"/>
    <s v="2025-03-02"/>
    <s v="Priya"/>
    <x v="4"/>
    <x v="0"/>
    <s v="Printers"/>
    <x v="2"/>
    <s v="Tamil Nadu"/>
    <s v="Chennai"/>
    <x v="1"/>
    <n v="2"/>
    <n v="19200"/>
    <n v="20"/>
    <n v="3493.11"/>
  </r>
  <r>
    <s v="AMZ10785"/>
    <x v="320"/>
    <s v="2025-09-04"/>
    <s v="Karan"/>
    <x v="5"/>
    <x v="0"/>
    <s v="Accessories"/>
    <x v="1"/>
    <s v="Maharashtra"/>
    <s v="Mumbai"/>
    <x v="0"/>
    <n v="1"/>
    <n v="720"/>
    <n v="20"/>
    <n v="141.88999999999999"/>
  </r>
  <r>
    <s v="AMZ10786"/>
    <x v="204"/>
    <s v="2025-02-19"/>
    <s v="Amit"/>
    <x v="8"/>
    <x v="1"/>
    <s v="Tables"/>
    <x v="2"/>
    <s v="Tamil Nadu"/>
    <s v="Chennai"/>
    <x v="2"/>
    <n v="4"/>
    <n v="34000"/>
    <n v="0"/>
    <n v="4783.96"/>
  </r>
  <r>
    <s v="AMZ10787"/>
    <x v="89"/>
    <s v="2025-08-24"/>
    <s v="Sneha"/>
    <x v="4"/>
    <x v="0"/>
    <s v="Printers"/>
    <x v="0"/>
    <s v="Odisha"/>
    <s v="Bhubaneswar"/>
    <x v="0"/>
    <n v="1"/>
    <n v="12000"/>
    <n v="0"/>
    <n v="1051.25"/>
  </r>
  <r>
    <s v="AMZ10788"/>
    <x v="1"/>
    <s v="2025-05-05"/>
    <s v="Neha"/>
    <x v="6"/>
    <x v="0"/>
    <s v="Accessories"/>
    <x v="1"/>
    <s v="Gujarat"/>
    <s v="Surat"/>
    <x v="3"/>
    <n v="4"/>
    <n v="8360"/>
    <n v="5"/>
    <n v="708.04"/>
  </r>
  <r>
    <s v="AMZ10789"/>
    <x v="56"/>
    <s v="2025-02-08"/>
    <s v="Neha"/>
    <x v="0"/>
    <x v="0"/>
    <s v="Computers"/>
    <x v="2"/>
    <s v="Tamil Nadu"/>
    <s v="Chennai"/>
    <x v="0"/>
    <n v="2"/>
    <n v="110000"/>
    <n v="0"/>
    <n v="22200.49"/>
  </r>
  <r>
    <s v="AMZ10790"/>
    <x v="148"/>
    <s v="2025-06-18"/>
    <s v="Mehul"/>
    <x v="2"/>
    <x v="0"/>
    <s v="Accessories"/>
    <x v="2"/>
    <s v="Karnataka"/>
    <s v="Bengaluru"/>
    <x v="1"/>
    <n v="3"/>
    <n v="3600"/>
    <n v="20"/>
    <n v="324.94"/>
  </r>
  <r>
    <s v="AMZ10791"/>
    <x v="221"/>
    <s v="2025-05-22"/>
    <s v="Amit"/>
    <x v="7"/>
    <x v="3"/>
    <s v="Travel"/>
    <x v="3"/>
    <s v="Punjab"/>
    <s v="Ludhiana"/>
    <x v="3"/>
    <n v="5"/>
    <n v="7650"/>
    <n v="15"/>
    <n v="1030.32"/>
  </r>
  <r>
    <s v="AMZ10792"/>
    <x v="126"/>
    <s v="2025-09-23"/>
    <s v="Prem"/>
    <x v="9"/>
    <x v="4"/>
    <s v="Kitchen"/>
    <x v="0"/>
    <s v="West Bengal"/>
    <s v="Kolkata"/>
    <x v="2"/>
    <n v="5"/>
    <n v="1800"/>
    <n v="20"/>
    <n v="365.41"/>
  </r>
  <r>
    <s v="AMZ10793"/>
    <x v="270"/>
    <s v="2025-01-11"/>
    <s v="Prem"/>
    <x v="5"/>
    <x v="0"/>
    <s v="Accessories"/>
    <x v="3"/>
    <s v="Punjab"/>
    <s v="Ludhiana"/>
    <x v="1"/>
    <n v="5"/>
    <n v="4050"/>
    <n v="10"/>
    <n v="517.30999999999995"/>
  </r>
  <r>
    <s v="AMZ10794"/>
    <x v="293"/>
    <s v="2025-06-27"/>
    <s v="Priya"/>
    <x v="6"/>
    <x v="0"/>
    <s v="Accessories"/>
    <x v="1"/>
    <s v="Maharashtra"/>
    <s v="Pune"/>
    <x v="2"/>
    <n v="5"/>
    <n v="11000"/>
    <n v="0"/>
    <n v="1868.25"/>
  </r>
  <r>
    <s v="AMZ10795"/>
    <x v="206"/>
    <s v="2025-06-04"/>
    <s v="Amit"/>
    <x v="1"/>
    <x v="1"/>
    <s v="Chairs"/>
    <x v="3"/>
    <s v="Punjab"/>
    <s v="Ludhiana"/>
    <x v="1"/>
    <n v="4"/>
    <n v="22100"/>
    <n v="15"/>
    <n v="3584.44"/>
  </r>
  <r>
    <s v="AMZ10796"/>
    <x v="102"/>
    <s v="2025-04-19"/>
    <s v="Neha"/>
    <x v="8"/>
    <x v="1"/>
    <s v="Tables"/>
    <x v="3"/>
    <s v="Delhi"/>
    <s v="New Delhi"/>
    <x v="2"/>
    <n v="5"/>
    <n v="40375"/>
    <n v="5"/>
    <n v="5523.05"/>
  </r>
  <r>
    <s v="AMZ10797"/>
    <x v="210"/>
    <s v="2025-05-17"/>
    <s v="Karan"/>
    <x v="0"/>
    <x v="0"/>
    <s v="Computers"/>
    <x v="2"/>
    <s v="Karnataka"/>
    <s v="Bengaluru"/>
    <x v="3"/>
    <n v="5"/>
    <n v="220000"/>
    <n v="20"/>
    <n v="21701.19"/>
  </r>
  <r>
    <s v="AMZ10798"/>
    <x v="321"/>
    <s v="2025-12-10"/>
    <s v="Mehul"/>
    <x v="2"/>
    <x v="0"/>
    <s v="Accessories"/>
    <x v="0"/>
    <s v="West Bengal"/>
    <s v="Kolkata"/>
    <x v="3"/>
    <n v="3"/>
    <n v="4500"/>
    <n v="0"/>
    <n v="457.93"/>
  </r>
  <r>
    <s v="AMZ10799"/>
    <x v="185"/>
    <s v="2025-01-13"/>
    <s v="Amit"/>
    <x v="8"/>
    <x v="1"/>
    <s v="Tables"/>
    <x v="0"/>
    <s v="West Bengal"/>
    <s v="Kolkata"/>
    <x v="3"/>
    <n v="4"/>
    <n v="27200"/>
    <n v="20"/>
    <n v="2415.79"/>
  </r>
  <r>
    <s v="AMZ10800"/>
    <x v="186"/>
    <s v="2025-02-10"/>
    <s v="Prem"/>
    <x v="1"/>
    <x v="1"/>
    <s v="Chairs"/>
    <x v="1"/>
    <s v="Maharashtra"/>
    <s v="Pune"/>
    <x v="3"/>
    <n v="5"/>
    <n v="30875"/>
    <n v="5"/>
    <n v="5390.03"/>
  </r>
  <r>
    <s v="AMZ10801"/>
    <x v="99"/>
    <s v="2025-12-30"/>
    <s v="Riya"/>
    <x v="4"/>
    <x v="0"/>
    <s v="Printers"/>
    <x v="1"/>
    <s v="Gujarat"/>
    <s v="Surat"/>
    <x v="0"/>
    <n v="3"/>
    <n v="32400"/>
    <n v="10"/>
    <n v="6162.45"/>
  </r>
  <r>
    <s v="AMZ10802"/>
    <x v="232"/>
    <s v="2025-10-30"/>
    <s v="Priya"/>
    <x v="8"/>
    <x v="1"/>
    <s v="Tables"/>
    <x v="2"/>
    <s v="Tamil Nadu"/>
    <s v="Chennai"/>
    <x v="1"/>
    <n v="5"/>
    <n v="36125"/>
    <n v="15"/>
    <n v="6887.72"/>
  </r>
  <r>
    <s v="AMZ10803"/>
    <x v="252"/>
    <s v="2025-04-24"/>
    <s v="Prem"/>
    <x v="9"/>
    <x v="4"/>
    <s v="Kitchen"/>
    <x v="3"/>
    <s v="Punjab"/>
    <s v="Ludhiana"/>
    <x v="1"/>
    <n v="1"/>
    <n v="427.5"/>
    <n v="5"/>
    <n v="86.15"/>
  </r>
  <r>
    <s v="AMZ10804"/>
    <x v="271"/>
    <s v="2025-06-20"/>
    <s v="Neha"/>
    <x v="8"/>
    <x v="1"/>
    <s v="Tables"/>
    <x v="3"/>
    <s v="Punjab"/>
    <s v="Ludhiana"/>
    <x v="2"/>
    <n v="1"/>
    <n v="6800"/>
    <n v="20"/>
    <n v="1164.9000000000001"/>
  </r>
  <r>
    <s v="AMZ10805"/>
    <x v="281"/>
    <s v="2025-01-23"/>
    <s v="Vikas"/>
    <x v="7"/>
    <x v="3"/>
    <s v="Travel"/>
    <x v="0"/>
    <s v="West Bengal"/>
    <s v="Kolkata"/>
    <x v="1"/>
    <n v="5"/>
    <n v="8550"/>
    <n v="5"/>
    <n v="801.6"/>
  </r>
  <r>
    <s v="AMZ10806"/>
    <x v="209"/>
    <s v="2025-12-23"/>
    <s v="Vikas"/>
    <x v="4"/>
    <x v="0"/>
    <s v="Printers"/>
    <x v="3"/>
    <s v="Punjab"/>
    <s v="Ludhiana"/>
    <x v="3"/>
    <n v="5"/>
    <n v="54000"/>
    <n v="10"/>
    <n v="10444.33"/>
  </r>
  <r>
    <s v="AMZ10807"/>
    <x v="178"/>
    <s v="2025-02-02"/>
    <s v="Karan"/>
    <x v="4"/>
    <x v="0"/>
    <s v="Printers"/>
    <x v="3"/>
    <s v="Punjab"/>
    <s v="Ludhiana"/>
    <x v="2"/>
    <n v="2"/>
    <n v="21600"/>
    <n v="10"/>
    <n v="4153.59"/>
  </r>
  <r>
    <s v="AMZ10808"/>
    <x v="246"/>
    <s v="2026-01-02"/>
    <s v="Sneha"/>
    <x v="7"/>
    <x v="3"/>
    <s v="Travel"/>
    <x v="1"/>
    <s v="Maharashtra"/>
    <s v="Mumbai"/>
    <x v="2"/>
    <n v="1"/>
    <n v="1620"/>
    <n v="10"/>
    <n v="332.93"/>
  </r>
  <r>
    <s v="AMZ10809"/>
    <x v="121"/>
    <s v="2025-07-22"/>
    <s v="Rahul"/>
    <x v="1"/>
    <x v="1"/>
    <s v="Chairs"/>
    <x v="2"/>
    <s v="Karnataka"/>
    <s v="Bengaluru"/>
    <x v="3"/>
    <n v="3"/>
    <n v="19500"/>
    <n v="0"/>
    <n v="2452.69"/>
  </r>
  <r>
    <s v="AMZ10810"/>
    <x v="222"/>
    <s v="2025-10-21"/>
    <s v="Priya"/>
    <x v="5"/>
    <x v="0"/>
    <s v="Accessories"/>
    <x v="3"/>
    <s v="Punjab"/>
    <s v="Ludhiana"/>
    <x v="1"/>
    <n v="2"/>
    <n v="1530"/>
    <n v="15"/>
    <n v="262.51"/>
  </r>
  <r>
    <s v="AMZ10811"/>
    <x v="322"/>
    <s v="2025-04-12"/>
    <s v="Mehul"/>
    <x v="9"/>
    <x v="4"/>
    <s v="Kitchen"/>
    <x v="3"/>
    <s v="Delhi"/>
    <s v="New Delhi"/>
    <x v="0"/>
    <n v="4"/>
    <n v="1440"/>
    <n v="20"/>
    <n v="223.9"/>
  </r>
  <r>
    <s v="AMZ10812"/>
    <x v="160"/>
    <s v="2025-05-10"/>
    <s v="Priya"/>
    <x v="8"/>
    <x v="1"/>
    <s v="Tables"/>
    <x v="2"/>
    <s v="Karnataka"/>
    <s v="Bengaluru"/>
    <x v="3"/>
    <n v="1"/>
    <n v="7650"/>
    <n v="10"/>
    <n v="966.48"/>
  </r>
  <r>
    <s v="AMZ10813"/>
    <x v="12"/>
    <s v="2025-12-12"/>
    <s v="Prem"/>
    <x v="7"/>
    <x v="3"/>
    <s v="Travel"/>
    <x v="2"/>
    <s v="Tamil Nadu"/>
    <s v="Chennai"/>
    <x v="0"/>
    <n v="1"/>
    <n v="1800"/>
    <n v="0"/>
    <n v="388.92"/>
  </r>
  <r>
    <s v="AMZ10814"/>
    <x v="55"/>
    <s v="2025-06-01"/>
    <s v="Amit"/>
    <x v="7"/>
    <x v="3"/>
    <s v="Travel"/>
    <x v="1"/>
    <s v="Gujarat"/>
    <s v="Surat"/>
    <x v="0"/>
    <n v="1"/>
    <n v="1620"/>
    <n v="10"/>
    <n v="264.82"/>
  </r>
  <r>
    <s v="AMZ10815"/>
    <x v="143"/>
    <s v="2025-12-31"/>
    <s v="Priya"/>
    <x v="9"/>
    <x v="4"/>
    <s v="Kitchen"/>
    <x v="2"/>
    <s v="Karnataka"/>
    <s v="Bengaluru"/>
    <x v="2"/>
    <n v="5"/>
    <n v="2025"/>
    <n v="10"/>
    <n v="343.19"/>
  </r>
  <r>
    <s v="AMZ10816"/>
    <x v="150"/>
    <s v="2025-11-28"/>
    <s v="Sneha"/>
    <x v="9"/>
    <x v="4"/>
    <s v="Kitchen"/>
    <x v="3"/>
    <s v="Punjab"/>
    <s v="Ludhiana"/>
    <x v="2"/>
    <n v="2"/>
    <n v="765"/>
    <n v="15"/>
    <n v="101.35"/>
  </r>
  <r>
    <s v="AMZ10817"/>
    <x v="323"/>
    <s v="2025-03-13"/>
    <s v="Sneha"/>
    <x v="9"/>
    <x v="4"/>
    <s v="Kitchen"/>
    <x v="1"/>
    <s v="Maharashtra"/>
    <s v="Pune"/>
    <x v="0"/>
    <n v="2"/>
    <n v="720"/>
    <n v="20"/>
    <n v="128.01"/>
  </r>
  <r>
    <s v="AMZ10818"/>
    <x v="164"/>
    <s v="2025-03-26"/>
    <s v="Amit"/>
    <x v="8"/>
    <x v="1"/>
    <s v="Tables"/>
    <x v="1"/>
    <s v="Gujarat"/>
    <s v="Surat"/>
    <x v="2"/>
    <n v="1"/>
    <n v="7225"/>
    <n v="15"/>
    <n v="1222.8399999999999"/>
  </r>
  <r>
    <s v="AMZ10819"/>
    <x v="231"/>
    <s v="2025-12-23"/>
    <s v="Rahul"/>
    <x v="7"/>
    <x v="3"/>
    <s v="Travel"/>
    <x v="3"/>
    <s v="Delhi"/>
    <s v="New Delhi"/>
    <x v="2"/>
    <n v="3"/>
    <n v="5130"/>
    <n v="5"/>
    <n v="633.36"/>
  </r>
  <r>
    <s v="AMZ10820"/>
    <x v="14"/>
    <s v="2025-12-25"/>
    <s v="Karan"/>
    <x v="5"/>
    <x v="0"/>
    <s v="Accessories"/>
    <x v="3"/>
    <s v="Punjab"/>
    <s v="Ludhiana"/>
    <x v="0"/>
    <n v="1"/>
    <n v="900"/>
    <n v="0"/>
    <n v="163.57"/>
  </r>
  <r>
    <s v="AMZ10821"/>
    <x v="324"/>
    <s v="2025-09-22"/>
    <s v="Riya"/>
    <x v="0"/>
    <x v="0"/>
    <s v="Computers"/>
    <x v="1"/>
    <s v="Maharashtra"/>
    <s v="Pune"/>
    <x v="3"/>
    <n v="5"/>
    <n v="261250"/>
    <n v="5"/>
    <n v="25708.83"/>
  </r>
  <r>
    <s v="AMZ10822"/>
    <x v="104"/>
    <s v="2025-02-01"/>
    <s v="Riya"/>
    <x v="4"/>
    <x v="0"/>
    <s v="Printers"/>
    <x v="2"/>
    <s v="Tamil Nadu"/>
    <s v="Chennai"/>
    <x v="0"/>
    <n v="3"/>
    <n v="36000"/>
    <n v="0"/>
    <n v="4026.83"/>
  </r>
  <r>
    <s v="AMZ10823"/>
    <x v="130"/>
    <s v="2025-01-12"/>
    <s v="Vikas"/>
    <x v="3"/>
    <x v="2"/>
    <s v="Stationery"/>
    <x v="2"/>
    <s v="Karnataka"/>
    <s v="Bengaluru"/>
    <x v="0"/>
    <n v="1"/>
    <n v="332.5"/>
    <n v="5"/>
    <n v="57.19"/>
  </r>
  <r>
    <s v="AMZ10824"/>
    <x v="273"/>
    <s v="2025-02-14"/>
    <s v="Riya"/>
    <x v="7"/>
    <x v="3"/>
    <s v="Travel"/>
    <x v="1"/>
    <s v="Maharashtra"/>
    <s v="Pune"/>
    <x v="3"/>
    <n v="5"/>
    <n v="8100"/>
    <n v="10"/>
    <n v="886.65"/>
  </r>
  <r>
    <s v="AMZ10825"/>
    <x v="280"/>
    <s v="2025-12-17"/>
    <s v="Priya"/>
    <x v="5"/>
    <x v="0"/>
    <s v="Accessories"/>
    <x v="3"/>
    <s v="Punjab"/>
    <s v="Ludhiana"/>
    <x v="1"/>
    <n v="4"/>
    <n v="3240"/>
    <n v="10"/>
    <n v="619.13"/>
  </r>
  <r>
    <s v="AMZ10826"/>
    <x v="170"/>
    <s v="2025-04-10"/>
    <s v="Karan"/>
    <x v="4"/>
    <x v="0"/>
    <s v="Printers"/>
    <x v="1"/>
    <s v="Maharashtra"/>
    <s v="Mumbai"/>
    <x v="3"/>
    <n v="1"/>
    <n v="10800"/>
    <n v="10"/>
    <n v="922.41"/>
  </r>
  <r>
    <s v="AMZ10827"/>
    <x v="128"/>
    <s v="2025-10-10"/>
    <s v="Amit"/>
    <x v="5"/>
    <x v="0"/>
    <s v="Accessories"/>
    <x v="1"/>
    <s v="Gujarat"/>
    <s v="Surat"/>
    <x v="3"/>
    <n v="3"/>
    <n v="2565"/>
    <n v="5"/>
    <n v="251.06"/>
  </r>
  <r>
    <s v="AMZ10828"/>
    <x v="207"/>
    <s v="2025-05-12"/>
    <s v="Neha"/>
    <x v="7"/>
    <x v="3"/>
    <s v="Travel"/>
    <x v="2"/>
    <s v="Karnataka"/>
    <s v="Bengaluru"/>
    <x v="1"/>
    <n v="3"/>
    <n v="4590"/>
    <n v="15"/>
    <n v="749.38"/>
  </r>
  <r>
    <s v="AMZ10829"/>
    <x v="82"/>
    <s v="2025-07-13"/>
    <s v="Vikas"/>
    <x v="0"/>
    <x v="0"/>
    <s v="Computers"/>
    <x v="2"/>
    <s v="Karnataka"/>
    <s v="Bengaluru"/>
    <x v="1"/>
    <n v="5"/>
    <n v="247500"/>
    <n v="10"/>
    <n v="41321.14"/>
  </r>
  <r>
    <s v="AMZ10830"/>
    <x v="88"/>
    <s v="2025-09-07"/>
    <s v="Priya"/>
    <x v="8"/>
    <x v="1"/>
    <s v="Tables"/>
    <x v="1"/>
    <s v="Maharashtra"/>
    <s v="Pune"/>
    <x v="0"/>
    <n v="2"/>
    <n v="16150"/>
    <n v="5"/>
    <n v="2127.3000000000002"/>
  </r>
  <r>
    <s v="AMZ10831"/>
    <x v="206"/>
    <s v="2025-06-04"/>
    <s v="Neha"/>
    <x v="4"/>
    <x v="0"/>
    <s v="Printers"/>
    <x v="1"/>
    <s v="Maharashtra"/>
    <s v="Mumbai"/>
    <x v="0"/>
    <n v="4"/>
    <n v="40800"/>
    <n v="15"/>
    <n v="3787.46"/>
  </r>
  <r>
    <s v="AMZ10832"/>
    <x v="325"/>
    <s v="2025-03-30"/>
    <s v="Riya"/>
    <x v="5"/>
    <x v="0"/>
    <s v="Accessories"/>
    <x v="3"/>
    <s v="Delhi"/>
    <s v="New Delhi"/>
    <x v="0"/>
    <n v="3"/>
    <n v="2565"/>
    <n v="5"/>
    <n v="250"/>
  </r>
  <r>
    <s v="AMZ10833"/>
    <x v="169"/>
    <s v="2025-11-26"/>
    <s v="Prem"/>
    <x v="4"/>
    <x v="0"/>
    <s v="Printers"/>
    <x v="2"/>
    <s v="Karnataka"/>
    <s v="Bengaluru"/>
    <x v="2"/>
    <n v="1"/>
    <n v="10200"/>
    <n v="15"/>
    <n v="1290.1400000000001"/>
  </r>
  <r>
    <s v="AMZ10834"/>
    <x v="305"/>
    <s v="2025-05-30"/>
    <s v="Priya"/>
    <x v="9"/>
    <x v="4"/>
    <s v="Kitchen"/>
    <x v="0"/>
    <s v="Odisha"/>
    <s v="Bhubaneswar"/>
    <x v="3"/>
    <n v="5"/>
    <n v="1800"/>
    <n v="20"/>
    <n v="361.39"/>
  </r>
  <r>
    <s v="AMZ10835"/>
    <x v="244"/>
    <s v="2025-03-14"/>
    <s v="Rahul"/>
    <x v="6"/>
    <x v="0"/>
    <s v="Accessories"/>
    <x v="0"/>
    <s v="West Bengal"/>
    <s v="Kolkata"/>
    <x v="0"/>
    <n v="2"/>
    <n v="3960"/>
    <n v="10"/>
    <n v="347.05"/>
  </r>
  <r>
    <s v="AMZ10836"/>
    <x v="27"/>
    <s v="2025-07-09"/>
    <s v="Neha"/>
    <x v="5"/>
    <x v="0"/>
    <s v="Accessories"/>
    <x v="3"/>
    <s v="Delhi"/>
    <s v="New Delhi"/>
    <x v="2"/>
    <n v="4"/>
    <n v="3060"/>
    <n v="15"/>
    <n v="653.07000000000005"/>
  </r>
  <r>
    <s v="AMZ10837"/>
    <x v="50"/>
    <s v="2025-01-07"/>
    <s v="Amit"/>
    <x v="8"/>
    <x v="1"/>
    <s v="Tables"/>
    <x v="2"/>
    <s v="Tamil Nadu"/>
    <s v="Chennai"/>
    <x v="3"/>
    <n v="5"/>
    <n v="36125"/>
    <n v="15"/>
    <n v="3686.55"/>
  </r>
  <r>
    <s v="AMZ10838"/>
    <x v="38"/>
    <s v="2025-05-28"/>
    <s v="Priya"/>
    <x v="5"/>
    <x v="0"/>
    <s v="Accessories"/>
    <x v="3"/>
    <s v="Punjab"/>
    <s v="Ludhiana"/>
    <x v="0"/>
    <n v="1"/>
    <n v="855"/>
    <n v="5"/>
    <n v="106.99"/>
  </r>
  <r>
    <s v="AMZ10839"/>
    <x v="262"/>
    <s v="2025-08-01"/>
    <s v="Sneha"/>
    <x v="5"/>
    <x v="0"/>
    <s v="Accessories"/>
    <x v="3"/>
    <s v="Delhi"/>
    <s v="New Delhi"/>
    <x v="1"/>
    <n v="1"/>
    <n v="855"/>
    <n v="5"/>
    <n v="158.71"/>
  </r>
  <r>
    <s v="AMZ10840"/>
    <x v="35"/>
    <s v="2025-11-10"/>
    <s v="Prem"/>
    <x v="3"/>
    <x v="2"/>
    <s v="Stationery"/>
    <x v="0"/>
    <s v="West Bengal"/>
    <s v="Kolkata"/>
    <x v="3"/>
    <n v="5"/>
    <n v="1750"/>
    <n v="0"/>
    <n v="232.47"/>
  </r>
  <r>
    <s v="AMZ10841"/>
    <x v="287"/>
    <s v="2025-12-08"/>
    <s v="Mehul"/>
    <x v="3"/>
    <x v="2"/>
    <s v="Stationery"/>
    <x v="2"/>
    <s v="Karnataka"/>
    <s v="Bengaluru"/>
    <x v="0"/>
    <n v="3"/>
    <n v="892.5"/>
    <n v="15"/>
    <n v="77.48"/>
  </r>
  <r>
    <s v="AMZ10842"/>
    <x v="210"/>
    <s v="2025-05-14"/>
    <s v="Neha"/>
    <x v="8"/>
    <x v="1"/>
    <s v="Tables"/>
    <x v="2"/>
    <s v="Tamil Nadu"/>
    <s v="Chennai"/>
    <x v="3"/>
    <n v="2"/>
    <n v="17000"/>
    <n v="0"/>
    <n v="1878.76"/>
  </r>
  <r>
    <s v="AMZ10843"/>
    <x v="100"/>
    <s v="2025-12-04"/>
    <s v="Amit"/>
    <x v="9"/>
    <x v="4"/>
    <s v="Kitchen"/>
    <x v="0"/>
    <s v="West Bengal"/>
    <s v="Kolkata"/>
    <x v="3"/>
    <n v="2"/>
    <n v="810"/>
    <n v="10"/>
    <n v="142.21"/>
  </r>
  <r>
    <s v="AMZ10844"/>
    <x v="236"/>
    <s v="2025-10-05"/>
    <s v="Sneha"/>
    <x v="9"/>
    <x v="4"/>
    <s v="Kitchen"/>
    <x v="1"/>
    <s v="Maharashtra"/>
    <s v="Pune"/>
    <x v="1"/>
    <n v="3"/>
    <n v="1282.5"/>
    <n v="5"/>
    <n v="262.92"/>
  </r>
  <r>
    <s v="AMZ10845"/>
    <x v="317"/>
    <s v="2025-09-02"/>
    <s v="Mehul"/>
    <x v="7"/>
    <x v="3"/>
    <s v="Travel"/>
    <x v="1"/>
    <s v="Maharashtra"/>
    <s v="Pune"/>
    <x v="3"/>
    <n v="1"/>
    <n v="1710"/>
    <n v="5"/>
    <n v="165.39"/>
  </r>
  <r>
    <s v="AMZ10846"/>
    <x v="45"/>
    <s v="2025-04-14"/>
    <s v="Neha"/>
    <x v="0"/>
    <x v="0"/>
    <s v="Computers"/>
    <x v="2"/>
    <s v="Karnataka"/>
    <s v="Bengaluru"/>
    <x v="2"/>
    <n v="3"/>
    <n v="140250"/>
    <n v="15"/>
    <n v="29925.74"/>
  </r>
  <r>
    <s v="AMZ10847"/>
    <x v="170"/>
    <s v="2025-04-12"/>
    <s v="Riya"/>
    <x v="2"/>
    <x v="0"/>
    <s v="Accessories"/>
    <x v="1"/>
    <s v="Gujarat"/>
    <s v="Surat"/>
    <x v="1"/>
    <n v="2"/>
    <n v="2850"/>
    <n v="5"/>
    <n v="497.65"/>
  </r>
  <r>
    <s v="AMZ10848"/>
    <x v="173"/>
    <s v="2025-05-02"/>
    <s v="Mehul"/>
    <x v="6"/>
    <x v="0"/>
    <s v="Accessories"/>
    <x v="2"/>
    <s v="Tamil Nadu"/>
    <s v="Chennai"/>
    <x v="1"/>
    <n v="2"/>
    <n v="3960"/>
    <n v="10"/>
    <n v="415.47"/>
  </r>
  <r>
    <s v="AMZ10849"/>
    <x v="0"/>
    <s v="2025-11-10"/>
    <s v="Rahul"/>
    <x v="7"/>
    <x v="3"/>
    <s v="Travel"/>
    <x v="2"/>
    <s v="Tamil Nadu"/>
    <s v="Chennai"/>
    <x v="1"/>
    <n v="2"/>
    <n v="3420"/>
    <n v="5"/>
    <n v="404.23"/>
  </r>
  <r>
    <s v="AMZ10850"/>
    <x v="302"/>
    <s v="2025-05-18"/>
    <s v="Priya"/>
    <x v="0"/>
    <x v="0"/>
    <s v="Computers"/>
    <x v="1"/>
    <s v="Gujarat"/>
    <s v="Surat"/>
    <x v="1"/>
    <n v="5"/>
    <n v="275000"/>
    <n v="0"/>
    <n v="39379.29"/>
  </r>
  <r>
    <s v="AMZ10851"/>
    <x v="20"/>
    <s v="2025-09-08"/>
    <s v="Prem"/>
    <x v="6"/>
    <x v="0"/>
    <s v="Accessories"/>
    <x v="2"/>
    <s v="Karnataka"/>
    <s v="Bengaluru"/>
    <x v="3"/>
    <n v="4"/>
    <n v="7040"/>
    <n v="20"/>
    <n v="1362.79"/>
  </r>
  <r>
    <s v="AMZ10852"/>
    <x v="222"/>
    <s v="2025-10-19"/>
    <s v="Amit"/>
    <x v="6"/>
    <x v="0"/>
    <s v="Accessories"/>
    <x v="2"/>
    <s v="Karnataka"/>
    <s v="Bengaluru"/>
    <x v="2"/>
    <n v="2"/>
    <n v="4180"/>
    <n v="5"/>
    <n v="421.05"/>
  </r>
  <r>
    <s v="AMZ10853"/>
    <x v="160"/>
    <s v="2025-05-10"/>
    <s v="Sneha"/>
    <x v="5"/>
    <x v="0"/>
    <s v="Accessories"/>
    <x v="0"/>
    <s v="Odisha"/>
    <s v="Bhubaneswar"/>
    <x v="3"/>
    <n v="5"/>
    <n v="4050"/>
    <n v="10"/>
    <n v="823.65"/>
  </r>
  <r>
    <s v="AMZ10854"/>
    <x v="68"/>
    <s v="2025-03-27"/>
    <s v="Sneha"/>
    <x v="3"/>
    <x v="2"/>
    <s v="Stationery"/>
    <x v="1"/>
    <s v="Maharashtra"/>
    <s v="Pune"/>
    <x v="3"/>
    <n v="5"/>
    <n v="1662.5"/>
    <n v="5"/>
    <n v="150.44999999999999"/>
  </r>
  <r>
    <s v="AMZ10855"/>
    <x v="133"/>
    <s v="2025-08-31"/>
    <s v="Riya"/>
    <x v="5"/>
    <x v="0"/>
    <s v="Accessories"/>
    <x v="0"/>
    <s v="Odisha"/>
    <s v="Bhubaneswar"/>
    <x v="3"/>
    <n v="4"/>
    <n v="3600"/>
    <n v="0"/>
    <n v="339.46"/>
  </r>
  <r>
    <s v="AMZ10856"/>
    <x v="152"/>
    <s v="2025-09-29"/>
    <s v="Riya"/>
    <x v="2"/>
    <x v="0"/>
    <s v="Accessories"/>
    <x v="0"/>
    <s v="Odisha"/>
    <s v="Bhubaneswar"/>
    <x v="3"/>
    <n v="3"/>
    <n v="3825"/>
    <n v="15"/>
    <n v="646.39"/>
  </r>
  <r>
    <s v="AMZ10857"/>
    <x v="181"/>
    <s v="2025-08-24"/>
    <s v="Rahul"/>
    <x v="2"/>
    <x v="0"/>
    <s v="Accessories"/>
    <x v="1"/>
    <s v="Maharashtra"/>
    <s v="Mumbai"/>
    <x v="3"/>
    <n v="1"/>
    <n v="1275"/>
    <n v="15"/>
    <n v="134.51"/>
  </r>
  <r>
    <s v="AMZ10858"/>
    <x v="100"/>
    <s v="2025-12-08"/>
    <s v="Priya"/>
    <x v="0"/>
    <x v="0"/>
    <s v="Computers"/>
    <x v="2"/>
    <s v="Tamil Nadu"/>
    <s v="Chennai"/>
    <x v="1"/>
    <n v="5"/>
    <n v="247500"/>
    <n v="10"/>
    <n v="44493.7"/>
  </r>
  <r>
    <s v="AMZ10859"/>
    <x v="29"/>
    <s v="2025-05-22"/>
    <s v="Rahul"/>
    <x v="8"/>
    <x v="1"/>
    <s v="Tables"/>
    <x v="0"/>
    <s v="West Bengal"/>
    <s v="Kolkata"/>
    <x v="3"/>
    <n v="5"/>
    <n v="38250"/>
    <n v="10"/>
    <n v="7227.03"/>
  </r>
  <r>
    <s v="AMZ10860"/>
    <x v="265"/>
    <s v="2025-11-15"/>
    <s v="Prem"/>
    <x v="1"/>
    <x v="1"/>
    <s v="Chairs"/>
    <x v="3"/>
    <s v="Punjab"/>
    <s v="Ludhiana"/>
    <x v="3"/>
    <n v="5"/>
    <n v="27625"/>
    <n v="15"/>
    <n v="3278.06"/>
  </r>
  <r>
    <s v="AMZ10861"/>
    <x v="257"/>
    <s v="2025-11-26"/>
    <s v="Prem"/>
    <x v="6"/>
    <x v="0"/>
    <s v="Accessories"/>
    <x v="2"/>
    <s v="Karnataka"/>
    <s v="Bengaluru"/>
    <x v="2"/>
    <n v="5"/>
    <n v="11000"/>
    <n v="0"/>
    <n v="1388.18"/>
  </r>
  <r>
    <s v="AMZ10862"/>
    <x v="168"/>
    <s v="2025-12-19"/>
    <s v="Riya"/>
    <x v="9"/>
    <x v="4"/>
    <s v="Kitchen"/>
    <x v="3"/>
    <s v="Punjab"/>
    <s v="Ludhiana"/>
    <x v="2"/>
    <n v="3"/>
    <n v="1147.5"/>
    <n v="15"/>
    <n v="210.94"/>
  </r>
  <r>
    <s v="AMZ10863"/>
    <x v="26"/>
    <s v="2025-07-16"/>
    <s v="Karan"/>
    <x v="4"/>
    <x v="0"/>
    <s v="Printers"/>
    <x v="3"/>
    <s v="Punjab"/>
    <s v="Ludhiana"/>
    <x v="2"/>
    <n v="1"/>
    <n v="12000"/>
    <n v="0"/>
    <n v="2174.71"/>
  </r>
  <r>
    <s v="AMZ10864"/>
    <x v="299"/>
    <s v="2025-09-17"/>
    <s v="Karan"/>
    <x v="8"/>
    <x v="1"/>
    <s v="Tables"/>
    <x v="2"/>
    <s v="Tamil Nadu"/>
    <s v="Chennai"/>
    <x v="2"/>
    <n v="5"/>
    <n v="42500"/>
    <n v="0"/>
    <n v="5554.51"/>
  </r>
  <r>
    <s v="AMZ10865"/>
    <x v="297"/>
    <s v="2025-04-06"/>
    <s v="Mehul"/>
    <x v="6"/>
    <x v="0"/>
    <s v="Accessories"/>
    <x v="1"/>
    <s v="Maharashtra"/>
    <s v="Mumbai"/>
    <x v="2"/>
    <n v="3"/>
    <n v="5280"/>
    <n v="20"/>
    <n v="637.72"/>
  </r>
  <r>
    <s v="AMZ10866"/>
    <x v="208"/>
    <s v="2025-05-28"/>
    <s v="Priya"/>
    <x v="2"/>
    <x v="0"/>
    <s v="Accessories"/>
    <x v="2"/>
    <s v="Tamil Nadu"/>
    <s v="Chennai"/>
    <x v="1"/>
    <n v="2"/>
    <n v="3000"/>
    <n v="0"/>
    <n v="573.86"/>
  </r>
  <r>
    <s v="AMZ10867"/>
    <x v="82"/>
    <s v="2025-07-12"/>
    <s v="Rahul"/>
    <x v="4"/>
    <x v="0"/>
    <s v="Printers"/>
    <x v="1"/>
    <s v="Gujarat"/>
    <s v="Surat"/>
    <x v="2"/>
    <n v="1"/>
    <n v="10200"/>
    <n v="15"/>
    <n v="2087.58"/>
  </r>
  <r>
    <s v="AMZ10868"/>
    <x v="310"/>
    <s v="2025-05-12"/>
    <s v="Vikas"/>
    <x v="3"/>
    <x v="2"/>
    <s v="Stationery"/>
    <x v="2"/>
    <s v="Karnataka"/>
    <s v="Bengaluru"/>
    <x v="0"/>
    <n v="5"/>
    <n v="1400"/>
    <n v="20"/>
    <n v="118.82"/>
  </r>
  <r>
    <s v="AMZ10869"/>
    <x v="178"/>
    <s v="2025-02-04"/>
    <s v="Amit"/>
    <x v="3"/>
    <x v="2"/>
    <s v="Stationery"/>
    <x v="1"/>
    <s v="Maharashtra"/>
    <s v="Pune"/>
    <x v="0"/>
    <n v="3"/>
    <n v="892.5"/>
    <n v="15"/>
    <n v="115.57"/>
  </r>
  <r>
    <s v="AMZ10870"/>
    <x v="230"/>
    <s v="2025-05-20"/>
    <s v="Priya"/>
    <x v="5"/>
    <x v="0"/>
    <s v="Accessories"/>
    <x v="1"/>
    <s v="Gujarat"/>
    <s v="Surat"/>
    <x v="1"/>
    <n v="4"/>
    <n v="3600"/>
    <n v="0"/>
    <n v="455.99"/>
  </r>
  <r>
    <s v="AMZ10871"/>
    <x v="238"/>
    <s v="2025-07-04"/>
    <s v="Amit"/>
    <x v="6"/>
    <x v="0"/>
    <s v="Accessories"/>
    <x v="3"/>
    <s v="Punjab"/>
    <s v="Ludhiana"/>
    <x v="2"/>
    <n v="5"/>
    <n v="10450"/>
    <n v="5"/>
    <n v="1194.3399999999999"/>
  </r>
  <r>
    <s v="AMZ10872"/>
    <x v="17"/>
    <s v="2025-02-23"/>
    <s v="Rahul"/>
    <x v="7"/>
    <x v="3"/>
    <s v="Travel"/>
    <x v="0"/>
    <s v="West Bengal"/>
    <s v="Kolkata"/>
    <x v="0"/>
    <n v="1"/>
    <n v="1620"/>
    <n v="10"/>
    <n v="188.46"/>
  </r>
  <r>
    <s v="AMZ10873"/>
    <x v="324"/>
    <s v="2025-09-19"/>
    <s v="Mehul"/>
    <x v="1"/>
    <x v="1"/>
    <s v="Chairs"/>
    <x v="0"/>
    <s v="West Bengal"/>
    <s v="Kolkata"/>
    <x v="3"/>
    <n v="3"/>
    <n v="18525"/>
    <n v="5"/>
    <n v="2005"/>
  </r>
  <r>
    <s v="AMZ10874"/>
    <x v="218"/>
    <s v="2025-02-18"/>
    <s v="Mehul"/>
    <x v="5"/>
    <x v="0"/>
    <s v="Accessories"/>
    <x v="2"/>
    <s v="Tamil Nadu"/>
    <s v="Chennai"/>
    <x v="2"/>
    <n v="1"/>
    <n v="900"/>
    <n v="0"/>
    <n v="174.34"/>
  </r>
  <r>
    <s v="AMZ10875"/>
    <x v="93"/>
    <s v="2025-03-05"/>
    <s v="Prem"/>
    <x v="3"/>
    <x v="2"/>
    <s v="Stationery"/>
    <x v="0"/>
    <s v="Odisha"/>
    <s v="Bhubaneswar"/>
    <x v="2"/>
    <n v="5"/>
    <n v="1662.5"/>
    <n v="5"/>
    <n v="181.33"/>
  </r>
  <r>
    <s v="AMZ10876"/>
    <x v="169"/>
    <s v="2025-11-22"/>
    <s v="Neha"/>
    <x v="5"/>
    <x v="0"/>
    <s v="Accessories"/>
    <x v="1"/>
    <s v="Gujarat"/>
    <s v="Surat"/>
    <x v="2"/>
    <n v="1"/>
    <n v="810"/>
    <n v="10"/>
    <n v="131.71"/>
  </r>
  <r>
    <s v="AMZ10877"/>
    <x v="243"/>
    <s v="2025-07-24"/>
    <s v="Mehul"/>
    <x v="9"/>
    <x v="4"/>
    <s v="Kitchen"/>
    <x v="3"/>
    <s v="Delhi"/>
    <s v="New Delhi"/>
    <x v="0"/>
    <n v="2"/>
    <n v="720"/>
    <n v="20"/>
    <n v="81.069999999999993"/>
  </r>
  <r>
    <s v="AMZ10878"/>
    <x v="247"/>
    <s v="2025-06-08"/>
    <s v="Rahul"/>
    <x v="1"/>
    <x v="1"/>
    <s v="Chairs"/>
    <x v="1"/>
    <s v="Maharashtra"/>
    <s v="Pune"/>
    <x v="0"/>
    <n v="4"/>
    <n v="24700"/>
    <n v="5"/>
    <n v="2493.39"/>
  </r>
  <r>
    <s v="AMZ10879"/>
    <x v="326"/>
    <s v="2025-02-06"/>
    <s v="Priya"/>
    <x v="6"/>
    <x v="0"/>
    <s v="Accessories"/>
    <x v="3"/>
    <s v="Delhi"/>
    <s v="New Delhi"/>
    <x v="1"/>
    <n v="2"/>
    <n v="3960"/>
    <n v="10"/>
    <n v="565.24"/>
  </r>
  <r>
    <s v="AMZ10880"/>
    <x v="107"/>
    <s v="2025-11-26"/>
    <s v="Riya"/>
    <x v="0"/>
    <x v="0"/>
    <s v="Computers"/>
    <x v="0"/>
    <s v="West Bengal"/>
    <s v="Kolkata"/>
    <x v="1"/>
    <n v="2"/>
    <n v="93500"/>
    <n v="15"/>
    <n v="7696.67"/>
  </r>
  <r>
    <s v="AMZ10881"/>
    <x v="84"/>
    <s v="2025-10-15"/>
    <s v="Amit"/>
    <x v="1"/>
    <x v="1"/>
    <s v="Chairs"/>
    <x v="1"/>
    <s v="Maharashtra"/>
    <s v="Pune"/>
    <x v="0"/>
    <n v="2"/>
    <n v="13000"/>
    <n v="0"/>
    <n v="2538.9499999999998"/>
  </r>
  <r>
    <s v="AMZ10882"/>
    <x v="24"/>
    <s v="2025-01-15"/>
    <s v="Riya"/>
    <x v="4"/>
    <x v="0"/>
    <s v="Printers"/>
    <x v="3"/>
    <s v="Delhi"/>
    <s v="New Delhi"/>
    <x v="3"/>
    <n v="4"/>
    <n v="43200"/>
    <n v="10"/>
    <n v="3668.33"/>
  </r>
  <r>
    <s v="AMZ10883"/>
    <x v="232"/>
    <s v="2025-11-01"/>
    <s v="Rahul"/>
    <x v="2"/>
    <x v="0"/>
    <s v="Accessories"/>
    <x v="0"/>
    <s v="West Bengal"/>
    <s v="Kolkata"/>
    <x v="3"/>
    <n v="1"/>
    <n v="1200"/>
    <n v="20"/>
    <n v="169.33"/>
  </r>
  <r>
    <s v="AMZ10884"/>
    <x v="268"/>
    <s v="2025-07-19"/>
    <s v="Amit"/>
    <x v="1"/>
    <x v="1"/>
    <s v="Chairs"/>
    <x v="3"/>
    <s v="Punjab"/>
    <s v="Ludhiana"/>
    <x v="2"/>
    <n v="1"/>
    <n v="6175"/>
    <n v="5"/>
    <n v="1079.1099999999999"/>
  </r>
  <r>
    <s v="AMZ10885"/>
    <x v="225"/>
    <s v="2025-10-19"/>
    <s v="Neha"/>
    <x v="9"/>
    <x v="4"/>
    <s v="Kitchen"/>
    <x v="3"/>
    <s v="Delhi"/>
    <s v="New Delhi"/>
    <x v="2"/>
    <n v="5"/>
    <n v="2137.5"/>
    <n v="5"/>
    <n v="200.77"/>
  </r>
  <r>
    <s v="AMZ10886"/>
    <x v="60"/>
    <s v="2025-06-16"/>
    <s v="Vikas"/>
    <x v="8"/>
    <x v="1"/>
    <s v="Tables"/>
    <x v="0"/>
    <s v="West Bengal"/>
    <s v="Kolkata"/>
    <x v="3"/>
    <n v="1"/>
    <n v="8075"/>
    <n v="5"/>
    <n v="1149.31"/>
  </r>
  <r>
    <s v="AMZ10887"/>
    <x v="258"/>
    <s v="2025-08-08"/>
    <s v="Karan"/>
    <x v="6"/>
    <x v="0"/>
    <s v="Accessories"/>
    <x v="3"/>
    <s v="Punjab"/>
    <s v="Ludhiana"/>
    <x v="2"/>
    <n v="2"/>
    <n v="4400"/>
    <n v="0"/>
    <n v="678.89"/>
  </r>
  <r>
    <s v="AMZ10888"/>
    <x v="145"/>
    <s v="2025-08-14"/>
    <s v="Prem"/>
    <x v="8"/>
    <x v="1"/>
    <s v="Tables"/>
    <x v="0"/>
    <s v="West Bengal"/>
    <s v="Kolkata"/>
    <x v="2"/>
    <n v="4"/>
    <n v="34000"/>
    <n v="0"/>
    <n v="7298.53"/>
  </r>
  <r>
    <s v="AMZ10889"/>
    <x v="144"/>
    <s v="2025-03-22"/>
    <s v="Amit"/>
    <x v="5"/>
    <x v="0"/>
    <s v="Accessories"/>
    <x v="3"/>
    <s v="Punjab"/>
    <s v="Ludhiana"/>
    <x v="1"/>
    <n v="3"/>
    <n v="2700"/>
    <n v="0"/>
    <n v="550.41999999999996"/>
  </r>
  <r>
    <s v="AMZ10890"/>
    <x v="69"/>
    <s v="2025-10-10"/>
    <s v="Amit"/>
    <x v="8"/>
    <x v="1"/>
    <s v="Tables"/>
    <x v="3"/>
    <s v="Punjab"/>
    <s v="Ludhiana"/>
    <x v="3"/>
    <n v="3"/>
    <n v="22950"/>
    <n v="10"/>
    <n v="4674.95"/>
  </r>
  <r>
    <s v="AMZ10891"/>
    <x v="327"/>
    <s v="2025-03-04"/>
    <s v="Neha"/>
    <x v="1"/>
    <x v="1"/>
    <s v="Chairs"/>
    <x v="1"/>
    <s v="Gujarat"/>
    <s v="Surat"/>
    <x v="3"/>
    <n v="3"/>
    <n v="17550"/>
    <n v="10"/>
    <n v="1582.28"/>
  </r>
  <r>
    <s v="AMZ10892"/>
    <x v="71"/>
    <s v="2025-06-17"/>
    <s v="Amit"/>
    <x v="3"/>
    <x v="2"/>
    <s v="Stationery"/>
    <x v="1"/>
    <s v="Maharashtra"/>
    <s v="Pune"/>
    <x v="3"/>
    <n v="3"/>
    <n v="840"/>
    <n v="20"/>
    <n v="170.59"/>
  </r>
  <r>
    <s v="AMZ10893"/>
    <x v="14"/>
    <s v="2025-12-23"/>
    <s v="Mehul"/>
    <x v="5"/>
    <x v="0"/>
    <s v="Accessories"/>
    <x v="2"/>
    <s v="Tamil Nadu"/>
    <s v="Chennai"/>
    <x v="1"/>
    <n v="5"/>
    <n v="4050"/>
    <n v="10"/>
    <n v="463.56"/>
  </r>
  <r>
    <s v="AMZ10894"/>
    <x v="304"/>
    <s v="2025-10-02"/>
    <s v="Neha"/>
    <x v="7"/>
    <x v="3"/>
    <s v="Travel"/>
    <x v="1"/>
    <s v="Gujarat"/>
    <s v="Surat"/>
    <x v="3"/>
    <n v="2"/>
    <n v="3060"/>
    <n v="15"/>
    <n v="549.24"/>
  </r>
  <r>
    <s v="AMZ10895"/>
    <x v="108"/>
    <s v="2025-12-18"/>
    <s v="Prem"/>
    <x v="9"/>
    <x v="4"/>
    <s v="Kitchen"/>
    <x v="3"/>
    <s v="Punjab"/>
    <s v="Ludhiana"/>
    <x v="0"/>
    <n v="4"/>
    <n v="1530"/>
    <n v="15"/>
    <n v="273.55"/>
  </r>
  <r>
    <s v="AMZ10896"/>
    <x v="135"/>
    <s v="2025-08-28"/>
    <s v="Priya"/>
    <x v="6"/>
    <x v="0"/>
    <s v="Accessories"/>
    <x v="2"/>
    <s v="Karnataka"/>
    <s v="Bengaluru"/>
    <x v="2"/>
    <n v="2"/>
    <n v="3960"/>
    <n v="10"/>
    <n v="413.1"/>
  </r>
  <r>
    <s v="AMZ10897"/>
    <x v="291"/>
    <s v="2025-06-20"/>
    <s v="Vikas"/>
    <x v="7"/>
    <x v="3"/>
    <s v="Travel"/>
    <x v="3"/>
    <s v="Delhi"/>
    <s v="New Delhi"/>
    <x v="3"/>
    <n v="1"/>
    <n v="1620"/>
    <n v="10"/>
    <n v="214.78"/>
  </r>
  <r>
    <s v="AMZ10898"/>
    <x v="161"/>
    <s v="2025-04-15"/>
    <s v="Amit"/>
    <x v="8"/>
    <x v="1"/>
    <s v="Tables"/>
    <x v="0"/>
    <s v="Odisha"/>
    <s v="Bhubaneswar"/>
    <x v="1"/>
    <n v="2"/>
    <n v="13600"/>
    <n v="20"/>
    <n v="2882.78"/>
  </r>
  <r>
    <s v="AMZ10899"/>
    <x v="164"/>
    <s v="2025-03-22"/>
    <s v="Neha"/>
    <x v="0"/>
    <x v="0"/>
    <s v="Computers"/>
    <x v="2"/>
    <s v="Tamil Nadu"/>
    <s v="Chennai"/>
    <x v="0"/>
    <n v="2"/>
    <n v="88000"/>
    <n v="20"/>
    <n v="14416.61"/>
  </r>
  <r>
    <s v="AMZ10900"/>
    <x v="63"/>
    <s v="2025-02-25"/>
    <s v="Rahul"/>
    <x v="3"/>
    <x v="2"/>
    <s v="Stationery"/>
    <x v="2"/>
    <s v="Karnataka"/>
    <s v="Bengaluru"/>
    <x v="1"/>
    <n v="1"/>
    <n v="280"/>
    <n v="20"/>
    <n v="28.58"/>
  </r>
  <r>
    <s v="AMZ10901"/>
    <x v="255"/>
    <s v="2025-07-24"/>
    <s v="Vikas"/>
    <x v="7"/>
    <x v="3"/>
    <s v="Travel"/>
    <x v="1"/>
    <s v="Maharashtra"/>
    <s v="Mumbai"/>
    <x v="2"/>
    <n v="4"/>
    <n v="6480"/>
    <n v="10"/>
    <n v="932.38"/>
  </r>
  <r>
    <s v="AMZ10902"/>
    <x v="84"/>
    <s v="2025-10-17"/>
    <s v="Amit"/>
    <x v="2"/>
    <x v="0"/>
    <s v="Accessories"/>
    <x v="3"/>
    <s v="Punjab"/>
    <s v="Ludhiana"/>
    <x v="3"/>
    <n v="4"/>
    <n v="5700"/>
    <n v="5"/>
    <n v="1113.19"/>
  </r>
  <r>
    <s v="AMZ10903"/>
    <x v="328"/>
    <s v="2025-12-27"/>
    <s v="Rahul"/>
    <x v="6"/>
    <x v="0"/>
    <s v="Accessories"/>
    <x v="2"/>
    <s v="Karnataka"/>
    <s v="Bengaluru"/>
    <x v="0"/>
    <n v="4"/>
    <n v="7920"/>
    <n v="10"/>
    <n v="651.75"/>
  </r>
  <r>
    <s v="AMZ10904"/>
    <x v="51"/>
    <s v="2025-06-10"/>
    <s v="Prem"/>
    <x v="9"/>
    <x v="4"/>
    <s v="Kitchen"/>
    <x v="3"/>
    <s v="Punjab"/>
    <s v="Ludhiana"/>
    <x v="1"/>
    <n v="1"/>
    <n v="427.5"/>
    <n v="5"/>
    <n v="66.28"/>
  </r>
  <r>
    <s v="AMZ10905"/>
    <x v="2"/>
    <s v="2025-02-05"/>
    <s v="Riya"/>
    <x v="1"/>
    <x v="1"/>
    <s v="Chairs"/>
    <x v="1"/>
    <s v="Maharashtra"/>
    <s v="Pune"/>
    <x v="2"/>
    <n v="2"/>
    <n v="10400"/>
    <n v="20"/>
    <n v="1597.8"/>
  </r>
  <r>
    <s v="AMZ10906"/>
    <x v="225"/>
    <s v="2025-10-21"/>
    <s v="Rahul"/>
    <x v="6"/>
    <x v="0"/>
    <s v="Accessories"/>
    <x v="1"/>
    <s v="Maharashtra"/>
    <s v="Mumbai"/>
    <x v="3"/>
    <n v="5"/>
    <n v="8800"/>
    <n v="20"/>
    <n v="1676.21"/>
  </r>
  <r>
    <s v="AMZ10907"/>
    <x v="80"/>
    <s v="2025-01-14"/>
    <s v="Sneha"/>
    <x v="5"/>
    <x v="0"/>
    <s v="Accessories"/>
    <x v="1"/>
    <s v="Maharashtra"/>
    <s v="Pune"/>
    <x v="2"/>
    <n v="2"/>
    <n v="1800"/>
    <n v="0"/>
    <n v="250.77"/>
  </r>
  <r>
    <s v="AMZ10908"/>
    <x v="214"/>
    <s v="2025-04-04"/>
    <s v="Sneha"/>
    <x v="3"/>
    <x v="2"/>
    <s v="Stationery"/>
    <x v="0"/>
    <s v="West Bengal"/>
    <s v="Kolkata"/>
    <x v="0"/>
    <n v="1"/>
    <n v="280"/>
    <n v="20"/>
    <n v="27.88"/>
  </r>
  <r>
    <s v="AMZ10909"/>
    <x v="275"/>
    <s v="2025-11-05"/>
    <s v="Riya"/>
    <x v="8"/>
    <x v="1"/>
    <s v="Tables"/>
    <x v="3"/>
    <s v="Punjab"/>
    <s v="Ludhiana"/>
    <x v="0"/>
    <n v="2"/>
    <n v="13600"/>
    <n v="20"/>
    <n v="1889.31"/>
  </r>
  <r>
    <s v="AMZ10910"/>
    <x v="251"/>
    <s v="2025-03-15"/>
    <s v="Rahul"/>
    <x v="8"/>
    <x v="1"/>
    <s v="Tables"/>
    <x v="0"/>
    <s v="Odisha"/>
    <s v="Bhubaneswar"/>
    <x v="3"/>
    <n v="1"/>
    <n v="6800"/>
    <n v="20"/>
    <n v="827.78"/>
  </r>
  <r>
    <s v="AMZ10911"/>
    <x v="205"/>
    <s v="2025-08-03"/>
    <s v="Rahul"/>
    <x v="4"/>
    <x v="0"/>
    <s v="Printers"/>
    <x v="1"/>
    <s v="Maharashtra"/>
    <s v="Mumbai"/>
    <x v="1"/>
    <n v="2"/>
    <n v="24000"/>
    <n v="0"/>
    <n v="5079.5600000000004"/>
  </r>
  <r>
    <s v="AMZ10912"/>
    <x v="225"/>
    <s v="2025-10-22"/>
    <s v="Neha"/>
    <x v="1"/>
    <x v="1"/>
    <s v="Chairs"/>
    <x v="3"/>
    <s v="Delhi"/>
    <s v="New Delhi"/>
    <x v="2"/>
    <n v="3"/>
    <n v="18525"/>
    <n v="5"/>
    <n v="3957.9"/>
  </r>
  <r>
    <s v="AMZ10913"/>
    <x v="171"/>
    <s v="2025-12-19"/>
    <s v="Vikas"/>
    <x v="0"/>
    <x v="0"/>
    <s v="Computers"/>
    <x v="1"/>
    <s v="Maharashtra"/>
    <s v="Pune"/>
    <x v="3"/>
    <n v="2"/>
    <n v="104500"/>
    <n v="5"/>
    <n v="16401.21"/>
  </r>
  <r>
    <s v="AMZ10914"/>
    <x v="16"/>
    <s v="2025-05-14"/>
    <s v="Prem"/>
    <x v="5"/>
    <x v="0"/>
    <s v="Accessories"/>
    <x v="2"/>
    <s v="Tamil Nadu"/>
    <s v="Chennai"/>
    <x v="3"/>
    <n v="2"/>
    <n v="1620"/>
    <n v="10"/>
    <n v="260.70999999999998"/>
  </r>
  <r>
    <s v="AMZ10915"/>
    <x v="217"/>
    <s v="2025-01-13"/>
    <s v="Karan"/>
    <x v="7"/>
    <x v="3"/>
    <s v="Travel"/>
    <x v="1"/>
    <s v="Maharashtra"/>
    <s v="Mumbai"/>
    <x v="3"/>
    <n v="3"/>
    <n v="4860"/>
    <n v="10"/>
    <n v="757.61"/>
  </r>
  <r>
    <s v="AMZ10916"/>
    <x v="97"/>
    <s v="2025-08-24"/>
    <s v="Sneha"/>
    <x v="7"/>
    <x v="3"/>
    <s v="Travel"/>
    <x v="2"/>
    <s v="Karnataka"/>
    <s v="Bengaluru"/>
    <x v="2"/>
    <n v="3"/>
    <n v="4590"/>
    <n v="15"/>
    <n v="479.07"/>
  </r>
  <r>
    <s v="AMZ10917"/>
    <x v="244"/>
    <s v="2025-03-13"/>
    <s v="Prem"/>
    <x v="7"/>
    <x v="3"/>
    <s v="Travel"/>
    <x v="2"/>
    <s v="Karnataka"/>
    <s v="Bengaluru"/>
    <x v="2"/>
    <n v="3"/>
    <n v="4590"/>
    <n v="15"/>
    <n v="733.59"/>
  </r>
  <r>
    <s v="AMZ10918"/>
    <x v="61"/>
    <s v="2025-10-18"/>
    <s v="Priya"/>
    <x v="4"/>
    <x v="0"/>
    <s v="Printers"/>
    <x v="1"/>
    <s v="Gujarat"/>
    <s v="Surat"/>
    <x v="1"/>
    <n v="1"/>
    <n v="11400"/>
    <n v="5"/>
    <n v="2107.33"/>
  </r>
  <r>
    <s v="AMZ10919"/>
    <x v="194"/>
    <s v="2025-10-30"/>
    <s v="Neha"/>
    <x v="5"/>
    <x v="0"/>
    <s v="Accessories"/>
    <x v="3"/>
    <s v="Punjab"/>
    <s v="Ludhiana"/>
    <x v="2"/>
    <n v="3"/>
    <n v="2430"/>
    <n v="10"/>
    <n v="202.11"/>
  </r>
  <r>
    <s v="AMZ10920"/>
    <x v="120"/>
    <s v="2025-03-25"/>
    <s v="Riya"/>
    <x v="9"/>
    <x v="4"/>
    <s v="Kitchen"/>
    <x v="2"/>
    <s v="Tamil Nadu"/>
    <s v="Chennai"/>
    <x v="0"/>
    <n v="5"/>
    <n v="1912.5"/>
    <n v="15"/>
    <n v="187.08"/>
  </r>
  <r>
    <s v="AMZ10921"/>
    <x v="329"/>
    <s v="2025-12-11"/>
    <s v="Prem"/>
    <x v="0"/>
    <x v="0"/>
    <s v="Computers"/>
    <x v="3"/>
    <s v="Punjab"/>
    <s v="Ludhiana"/>
    <x v="3"/>
    <n v="5"/>
    <n v="220000"/>
    <n v="20"/>
    <n v="17945.64"/>
  </r>
  <r>
    <s v="AMZ10922"/>
    <x v="48"/>
    <s v="2025-11-12"/>
    <s v="Sneha"/>
    <x v="0"/>
    <x v="0"/>
    <s v="Computers"/>
    <x v="1"/>
    <s v="Maharashtra"/>
    <s v="Pune"/>
    <x v="2"/>
    <n v="1"/>
    <n v="49500"/>
    <n v="10"/>
    <n v="6871.2"/>
  </r>
  <r>
    <s v="AMZ10923"/>
    <x v="53"/>
    <s v="2025-10-10"/>
    <s v="Karan"/>
    <x v="5"/>
    <x v="0"/>
    <s v="Accessories"/>
    <x v="2"/>
    <s v="Karnataka"/>
    <s v="Bengaluru"/>
    <x v="2"/>
    <n v="5"/>
    <n v="4275"/>
    <n v="5"/>
    <n v="461.02"/>
  </r>
  <r>
    <s v="AMZ10924"/>
    <x v="330"/>
    <s v="2025-03-03"/>
    <s v="Sneha"/>
    <x v="3"/>
    <x v="2"/>
    <s v="Stationery"/>
    <x v="2"/>
    <s v="Karnataka"/>
    <s v="Bengaluru"/>
    <x v="0"/>
    <n v="5"/>
    <n v="1750"/>
    <n v="0"/>
    <n v="294.74"/>
  </r>
  <r>
    <s v="AMZ10925"/>
    <x v="308"/>
    <s v="2025-08-26"/>
    <s v="Neha"/>
    <x v="6"/>
    <x v="0"/>
    <s v="Accessories"/>
    <x v="2"/>
    <s v="Karnataka"/>
    <s v="Bengaluru"/>
    <x v="3"/>
    <n v="1"/>
    <n v="2200"/>
    <n v="0"/>
    <n v="326.13"/>
  </r>
  <r>
    <s v="AMZ10926"/>
    <x v="331"/>
    <s v="2025-06-01"/>
    <s v="Amit"/>
    <x v="3"/>
    <x v="2"/>
    <s v="Stationery"/>
    <x v="2"/>
    <s v="Karnataka"/>
    <s v="Bengaluru"/>
    <x v="1"/>
    <n v="4"/>
    <n v="1330"/>
    <n v="5"/>
    <n v="269.98"/>
  </r>
  <r>
    <s v="AMZ10927"/>
    <x v="222"/>
    <s v="2025-10-16"/>
    <s v="Karan"/>
    <x v="9"/>
    <x v="4"/>
    <s v="Kitchen"/>
    <x v="1"/>
    <s v="Maharashtra"/>
    <s v="Mumbai"/>
    <x v="1"/>
    <n v="2"/>
    <n v="810"/>
    <n v="10"/>
    <n v="101.53"/>
  </r>
  <r>
    <s v="AMZ10928"/>
    <x v="5"/>
    <s v="2025-12-20"/>
    <s v="Vikas"/>
    <x v="7"/>
    <x v="3"/>
    <s v="Travel"/>
    <x v="2"/>
    <s v="Karnataka"/>
    <s v="Bengaluru"/>
    <x v="3"/>
    <n v="5"/>
    <n v="8550"/>
    <n v="5"/>
    <n v="1693.75"/>
  </r>
  <r>
    <s v="AMZ10929"/>
    <x v="222"/>
    <s v="2025-10-20"/>
    <s v="Karan"/>
    <x v="1"/>
    <x v="1"/>
    <s v="Chairs"/>
    <x v="3"/>
    <s v="Punjab"/>
    <s v="Ludhiana"/>
    <x v="1"/>
    <n v="4"/>
    <n v="22100"/>
    <n v="15"/>
    <n v="4555.41"/>
  </r>
  <r>
    <s v="AMZ10930"/>
    <x v="80"/>
    <s v="2025-01-15"/>
    <s v="Riya"/>
    <x v="5"/>
    <x v="0"/>
    <s v="Accessories"/>
    <x v="1"/>
    <s v="Maharashtra"/>
    <s v="Mumbai"/>
    <x v="2"/>
    <n v="5"/>
    <n v="3600"/>
    <n v="20"/>
    <n v="508.83"/>
  </r>
  <r>
    <s v="AMZ10931"/>
    <x v="260"/>
    <s v="2025-08-29"/>
    <s v="Prem"/>
    <x v="3"/>
    <x v="2"/>
    <s v="Stationery"/>
    <x v="3"/>
    <s v="Delhi"/>
    <s v="New Delhi"/>
    <x v="3"/>
    <n v="5"/>
    <n v="1662.5"/>
    <n v="5"/>
    <n v="310.99"/>
  </r>
  <r>
    <s v="AMZ10932"/>
    <x v="217"/>
    <s v="2025-01-12"/>
    <s v="Neha"/>
    <x v="5"/>
    <x v="0"/>
    <s v="Accessories"/>
    <x v="0"/>
    <s v="West Bengal"/>
    <s v="Kolkata"/>
    <x v="1"/>
    <n v="3"/>
    <n v="2700"/>
    <n v="0"/>
    <n v="471.65"/>
  </r>
  <r>
    <s v="AMZ10933"/>
    <x v="160"/>
    <s v="2025-05-05"/>
    <s v="Vikas"/>
    <x v="9"/>
    <x v="4"/>
    <s v="Kitchen"/>
    <x v="3"/>
    <s v="Delhi"/>
    <s v="New Delhi"/>
    <x v="3"/>
    <n v="5"/>
    <n v="2137.5"/>
    <n v="5"/>
    <n v="336.55"/>
  </r>
  <r>
    <s v="AMZ10934"/>
    <x v="302"/>
    <s v="2025-05-17"/>
    <s v="Priya"/>
    <x v="6"/>
    <x v="0"/>
    <s v="Accessories"/>
    <x v="0"/>
    <s v="Odisha"/>
    <s v="Bhubaneswar"/>
    <x v="1"/>
    <n v="3"/>
    <n v="6270"/>
    <n v="5"/>
    <n v="681.35"/>
  </r>
  <r>
    <s v="AMZ10935"/>
    <x v="13"/>
    <s v="2025-09-14"/>
    <s v="Mehul"/>
    <x v="8"/>
    <x v="1"/>
    <s v="Tables"/>
    <x v="3"/>
    <s v="Delhi"/>
    <s v="New Delhi"/>
    <x v="0"/>
    <n v="1"/>
    <n v="8075"/>
    <n v="5"/>
    <n v="967.92"/>
  </r>
  <r>
    <s v="AMZ10936"/>
    <x v="252"/>
    <s v="2025-04-24"/>
    <s v="Vikas"/>
    <x v="0"/>
    <x v="0"/>
    <s v="Computers"/>
    <x v="1"/>
    <s v="Gujarat"/>
    <s v="Surat"/>
    <x v="2"/>
    <n v="2"/>
    <n v="104500"/>
    <n v="5"/>
    <n v="19963.73"/>
  </r>
  <r>
    <s v="AMZ10937"/>
    <x v="15"/>
    <s v="2025-06-09"/>
    <s v="Amit"/>
    <x v="3"/>
    <x v="2"/>
    <s v="Stationery"/>
    <x v="2"/>
    <s v="Tamil Nadu"/>
    <s v="Chennai"/>
    <x v="0"/>
    <n v="4"/>
    <n v="1120"/>
    <n v="20"/>
    <n v="217.94"/>
  </r>
  <r>
    <s v="AMZ10938"/>
    <x v="250"/>
    <s v="2025-09-03"/>
    <s v="Amit"/>
    <x v="5"/>
    <x v="0"/>
    <s v="Accessories"/>
    <x v="3"/>
    <s v="Punjab"/>
    <s v="Ludhiana"/>
    <x v="0"/>
    <n v="5"/>
    <n v="3600"/>
    <n v="20"/>
    <n v="639.85"/>
  </r>
  <r>
    <s v="AMZ10939"/>
    <x v="107"/>
    <s v="2025-11-23"/>
    <s v="Vikas"/>
    <x v="8"/>
    <x v="1"/>
    <s v="Tables"/>
    <x v="0"/>
    <s v="West Bengal"/>
    <s v="Kolkata"/>
    <x v="2"/>
    <n v="5"/>
    <n v="34000"/>
    <n v="20"/>
    <n v="5870.02"/>
  </r>
  <r>
    <s v="AMZ10940"/>
    <x v="332"/>
    <s v="2025-06-30"/>
    <s v="Rahul"/>
    <x v="1"/>
    <x v="1"/>
    <s v="Chairs"/>
    <x v="0"/>
    <s v="Odisha"/>
    <s v="Bhubaneswar"/>
    <x v="2"/>
    <n v="2"/>
    <n v="11050"/>
    <n v="15"/>
    <n v="1288.99"/>
  </r>
  <r>
    <s v="AMZ10941"/>
    <x v="143"/>
    <s v="2025-12-28"/>
    <s v="Riya"/>
    <x v="3"/>
    <x v="2"/>
    <s v="Stationery"/>
    <x v="3"/>
    <s v="Punjab"/>
    <s v="Ludhiana"/>
    <x v="0"/>
    <n v="3"/>
    <n v="840"/>
    <n v="20"/>
    <n v="139.85"/>
  </r>
  <r>
    <s v="AMZ10942"/>
    <x v="99"/>
    <s v="2025-12-30"/>
    <s v="Amit"/>
    <x v="5"/>
    <x v="0"/>
    <s v="Accessories"/>
    <x v="1"/>
    <s v="Maharashtra"/>
    <s v="Pune"/>
    <x v="0"/>
    <n v="5"/>
    <n v="4050"/>
    <n v="10"/>
    <n v="497.05"/>
  </r>
  <r>
    <s v="AMZ10943"/>
    <x v="89"/>
    <s v="2025-08-23"/>
    <s v="Vikas"/>
    <x v="5"/>
    <x v="0"/>
    <s v="Accessories"/>
    <x v="2"/>
    <s v="Karnataka"/>
    <s v="Bengaluru"/>
    <x v="3"/>
    <n v="5"/>
    <n v="4050"/>
    <n v="10"/>
    <n v="430.3"/>
  </r>
  <r>
    <s v="AMZ10944"/>
    <x v="300"/>
    <s v="2026-01-03"/>
    <s v="Mehul"/>
    <x v="3"/>
    <x v="2"/>
    <s v="Stationery"/>
    <x v="2"/>
    <s v="Tamil Nadu"/>
    <s v="Chennai"/>
    <x v="2"/>
    <n v="4"/>
    <n v="1330"/>
    <n v="5"/>
    <n v="143.44999999999999"/>
  </r>
  <r>
    <s v="AMZ10945"/>
    <x v="333"/>
    <s v="2025-10-23"/>
    <s v="Prem"/>
    <x v="2"/>
    <x v="0"/>
    <s v="Accessories"/>
    <x v="2"/>
    <s v="Karnataka"/>
    <s v="Bengaluru"/>
    <x v="2"/>
    <n v="4"/>
    <n v="5100"/>
    <n v="15"/>
    <n v="492.36"/>
  </r>
  <r>
    <s v="AMZ10946"/>
    <x v="63"/>
    <s v="2025-02-26"/>
    <s v="Prem"/>
    <x v="0"/>
    <x v="0"/>
    <s v="Computers"/>
    <x v="0"/>
    <s v="Odisha"/>
    <s v="Bhubaneswar"/>
    <x v="2"/>
    <n v="4"/>
    <n v="176000"/>
    <n v="20"/>
    <n v="26529.03"/>
  </r>
  <r>
    <s v="AMZ10947"/>
    <x v="306"/>
    <s v="2025-11-04"/>
    <s v="Amit"/>
    <x v="2"/>
    <x v="0"/>
    <s v="Accessories"/>
    <x v="1"/>
    <s v="Gujarat"/>
    <s v="Surat"/>
    <x v="0"/>
    <n v="4"/>
    <n v="6000"/>
    <n v="0"/>
    <n v="621.89"/>
  </r>
  <r>
    <s v="AMZ10948"/>
    <x v="254"/>
    <s v="2025-07-23"/>
    <s v="Priya"/>
    <x v="5"/>
    <x v="0"/>
    <s v="Accessories"/>
    <x v="2"/>
    <s v="Tamil Nadu"/>
    <s v="Chennai"/>
    <x v="2"/>
    <n v="2"/>
    <n v="1440"/>
    <n v="20"/>
    <n v="191.53"/>
  </r>
  <r>
    <s v="AMZ10949"/>
    <x v="223"/>
    <s v="2025-09-10"/>
    <s v="Rahul"/>
    <x v="2"/>
    <x v="0"/>
    <s v="Accessories"/>
    <x v="2"/>
    <s v="Tamil Nadu"/>
    <s v="Chennai"/>
    <x v="0"/>
    <n v="2"/>
    <n v="2400"/>
    <n v="20"/>
    <n v="414.63"/>
  </r>
  <r>
    <s v="AMZ10950"/>
    <x v="180"/>
    <s v="2025-01-19"/>
    <s v="Karan"/>
    <x v="7"/>
    <x v="3"/>
    <s v="Travel"/>
    <x v="0"/>
    <s v="Odisha"/>
    <s v="Bhubaneswar"/>
    <x v="3"/>
    <n v="4"/>
    <n v="6120"/>
    <n v="15"/>
    <n v="1163.57"/>
  </r>
  <r>
    <s v="AMZ10951"/>
    <x v="239"/>
    <s v="2025-06-01"/>
    <s v="Rahul"/>
    <x v="5"/>
    <x v="0"/>
    <s v="Accessories"/>
    <x v="3"/>
    <s v="Punjab"/>
    <s v="Ludhiana"/>
    <x v="3"/>
    <n v="3"/>
    <n v="2700"/>
    <n v="0"/>
    <n v="424.49"/>
  </r>
  <r>
    <s v="AMZ10952"/>
    <x v="280"/>
    <s v="2025-12-17"/>
    <s v="Rahul"/>
    <x v="8"/>
    <x v="1"/>
    <s v="Tables"/>
    <x v="2"/>
    <s v="Tamil Nadu"/>
    <s v="Chennai"/>
    <x v="0"/>
    <n v="2"/>
    <n v="17000"/>
    <n v="0"/>
    <n v="1822.21"/>
  </r>
  <r>
    <s v="AMZ10953"/>
    <x v="84"/>
    <s v="2025-10-13"/>
    <s v="Karan"/>
    <x v="6"/>
    <x v="0"/>
    <s v="Accessories"/>
    <x v="1"/>
    <s v="Maharashtra"/>
    <s v="Pune"/>
    <x v="1"/>
    <n v="3"/>
    <n v="6270"/>
    <n v="5"/>
    <n v="1074.0999999999999"/>
  </r>
  <r>
    <s v="AMZ10954"/>
    <x v="197"/>
    <s v="2025-05-29"/>
    <s v="Riya"/>
    <x v="5"/>
    <x v="0"/>
    <s v="Accessories"/>
    <x v="1"/>
    <s v="Maharashtra"/>
    <s v="Mumbai"/>
    <x v="3"/>
    <n v="4"/>
    <n v="3060"/>
    <n v="15"/>
    <n v="292.17"/>
  </r>
  <r>
    <s v="AMZ10955"/>
    <x v="130"/>
    <s v="2025-01-12"/>
    <s v="Vikas"/>
    <x v="2"/>
    <x v="0"/>
    <s v="Accessories"/>
    <x v="1"/>
    <s v="Maharashtra"/>
    <s v="Mumbai"/>
    <x v="0"/>
    <n v="4"/>
    <n v="5100"/>
    <n v="15"/>
    <n v="994.42"/>
  </r>
  <r>
    <s v="AMZ10956"/>
    <x v="334"/>
    <s v="2025-07-31"/>
    <s v="Rahul"/>
    <x v="7"/>
    <x v="3"/>
    <s v="Travel"/>
    <x v="1"/>
    <s v="Gujarat"/>
    <s v="Surat"/>
    <x v="2"/>
    <n v="4"/>
    <n v="7200"/>
    <n v="0"/>
    <n v="1006.46"/>
  </r>
  <r>
    <s v="AMZ10957"/>
    <x v="219"/>
    <s v="2025-02-28"/>
    <s v="Rahul"/>
    <x v="5"/>
    <x v="0"/>
    <s v="Accessories"/>
    <x v="2"/>
    <s v="Tamil Nadu"/>
    <s v="Chennai"/>
    <x v="1"/>
    <n v="3"/>
    <n v="2430"/>
    <n v="10"/>
    <n v="529.07000000000005"/>
  </r>
  <r>
    <s v="AMZ10958"/>
    <x v="151"/>
    <s v="2025-05-27"/>
    <s v="Vikas"/>
    <x v="6"/>
    <x v="0"/>
    <s v="Accessories"/>
    <x v="3"/>
    <s v="Delhi"/>
    <s v="New Delhi"/>
    <x v="0"/>
    <n v="1"/>
    <n v="1870"/>
    <n v="15"/>
    <n v="284.17"/>
  </r>
  <r>
    <s v="AMZ10959"/>
    <x v="228"/>
    <s v="2025-01-25"/>
    <s v="Priya"/>
    <x v="9"/>
    <x v="4"/>
    <s v="Kitchen"/>
    <x v="1"/>
    <s v="Maharashtra"/>
    <s v="Pune"/>
    <x v="2"/>
    <n v="5"/>
    <n v="2250"/>
    <n v="0"/>
    <n v="340.68"/>
  </r>
  <r>
    <s v="AMZ10960"/>
    <x v="174"/>
    <s v="2025-03-15"/>
    <s v="Rahul"/>
    <x v="2"/>
    <x v="0"/>
    <s v="Accessories"/>
    <x v="1"/>
    <s v="Gujarat"/>
    <s v="Surat"/>
    <x v="3"/>
    <n v="4"/>
    <n v="4800"/>
    <n v="20"/>
    <n v="982.62"/>
  </r>
  <r>
    <s v="AMZ10961"/>
    <x v="20"/>
    <s v="2025-09-07"/>
    <s v="Vikas"/>
    <x v="3"/>
    <x v="2"/>
    <s v="Stationery"/>
    <x v="3"/>
    <s v="Delhi"/>
    <s v="New Delhi"/>
    <x v="2"/>
    <n v="5"/>
    <n v="1575"/>
    <n v="10"/>
    <n v="207.37"/>
  </r>
  <r>
    <s v="AMZ10962"/>
    <x v="219"/>
    <s v="2025-03-01"/>
    <s v="Vikas"/>
    <x v="0"/>
    <x v="0"/>
    <s v="Computers"/>
    <x v="1"/>
    <s v="Maharashtra"/>
    <s v="Mumbai"/>
    <x v="3"/>
    <n v="1"/>
    <n v="55000"/>
    <n v="0"/>
    <n v="11614.49"/>
  </r>
  <r>
    <s v="AMZ10963"/>
    <x v="266"/>
    <s v="2025-03-18"/>
    <s v="Neha"/>
    <x v="9"/>
    <x v="4"/>
    <s v="Kitchen"/>
    <x v="2"/>
    <s v="Karnataka"/>
    <s v="Bengaluru"/>
    <x v="0"/>
    <n v="1"/>
    <n v="450"/>
    <n v="0"/>
    <n v="46.17"/>
  </r>
  <r>
    <s v="AMZ10964"/>
    <x v="289"/>
    <s v="2025-05-05"/>
    <s v="Vikas"/>
    <x v="8"/>
    <x v="1"/>
    <s v="Tables"/>
    <x v="1"/>
    <s v="Maharashtra"/>
    <s v="Mumbai"/>
    <x v="1"/>
    <n v="3"/>
    <n v="22950"/>
    <n v="10"/>
    <n v="4016.28"/>
  </r>
  <r>
    <s v="AMZ10965"/>
    <x v="40"/>
    <s v="2025-05-23"/>
    <s v="Karan"/>
    <x v="9"/>
    <x v="4"/>
    <s v="Kitchen"/>
    <x v="2"/>
    <s v="Karnataka"/>
    <s v="Bengaluru"/>
    <x v="2"/>
    <n v="2"/>
    <n v="765"/>
    <n v="15"/>
    <n v="137.69999999999999"/>
  </r>
  <r>
    <s v="AMZ10966"/>
    <x v="168"/>
    <s v="2025-12-21"/>
    <s v="Neha"/>
    <x v="2"/>
    <x v="0"/>
    <s v="Accessories"/>
    <x v="2"/>
    <s v="Karnataka"/>
    <s v="Bengaluru"/>
    <x v="0"/>
    <n v="3"/>
    <n v="4500"/>
    <n v="0"/>
    <n v="811.43"/>
  </r>
  <r>
    <s v="AMZ10967"/>
    <x v="202"/>
    <s v="2025-05-14"/>
    <s v="Prem"/>
    <x v="0"/>
    <x v="0"/>
    <s v="Computers"/>
    <x v="2"/>
    <s v="Karnataka"/>
    <s v="Bengaluru"/>
    <x v="3"/>
    <n v="2"/>
    <n v="104500"/>
    <n v="5"/>
    <n v="11976.31"/>
  </r>
  <r>
    <s v="AMZ10968"/>
    <x v="113"/>
    <s v="2025-08-09"/>
    <s v="Prem"/>
    <x v="0"/>
    <x v="0"/>
    <s v="Computers"/>
    <x v="1"/>
    <s v="Gujarat"/>
    <s v="Surat"/>
    <x v="2"/>
    <n v="1"/>
    <n v="49500"/>
    <n v="10"/>
    <n v="9451.4599999999991"/>
  </r>
  <r>
    <s v="AMZ10969"/>
    <x v="218"/>
    <s v="2025-02-17"/>
    <s v="Riya"/>
    <x v="1"/>
    <x v="1"/>
    <s v="Chairs"/>
    <x v="1"/>
    <s v="Maharashtra"/>
    <s v="Pune"/>
    <x v="3"/>
    <n v="3"/>
    <n v="15600"/>
    <n v="20"/>
    <n v="3127.78"/>
  </r>
  <r>
    <s v="AMZ10970"/>
    <x v="84"/>
    <s v="2025-10-12"/>
    <s v="Amit"/>
    <x v="8"/>
    <x v="1"/>
    <s v="Tables"/>
    <x v="2"/>
    <s v="Karnataka"/>
    <s v="Bengaluru"/>
    <x v="1"/>
    <n v="5"/>
    <n v="36125"/>
    <n v="15"/>
    <n v="4415.12"/>
  </r>
  <r>
    <s v="AMZ10971"/>
    <x v="234"/>
    <s v="2025-04-19"/>
    <s v="Sneha"/>
    <x v="0"/>
    <x v="0"/>
    <s v="Computers"/>
    <x v="1"/>
    <s v="Maharashtra"/>
    <s v="Mumbai"/>
    <x v="1"/>
    <n v="1"/>
    <n v="55000"/>
    <n v="0"/>
    <n v="8103.08"/>
  </r>
  <r>
    <s v="AMZ10972"/>
    <x v="180"/>
    <s v="2025-01-22"/>
    <s v="Amit"/>
    <x v="8"/>
    <x v="1"/>
    <s v="Tables"/>
    <x v="0"/>
    <s v="Odisha"/>
    <s v="Bhubaneswar"/>
    <x v="2"/>
    <n v="4"/>
    <n v="28900"/>
    <n v="15"/>
    <n v="4082.92"/>
  </r>
  <r>
    <s v="AMZ10973"/>
    <x v="303"/>
    <s v="2025-10-06"/>
    <s v="Priya"/>
    <x v="7"/>
    <x v="3"/>
    <s v="Travel"/>
    <x v="0"/>
    <s v="West Bengal"/>
    <s v="Kolkata"/>
    <x v="1"/>
    <n v="4"/>
    <n v="5760"/>
    <n v="20"/>
    <n v="1185.9000000000001"/>
  </r>
  <r>
    <s v="AMZ10974"/>
    <x v="218"/>
    <s v="2025-02-19"/>
    <s v="Priya"/>
    <x v="5"/>
    <x v="0"/>
    <s v="Accessories"/>
    <x v="0"/>
    <s v="West Bengal"/>
    <s v="Kolkata"/>
    <x v="3"/>
    <n v="5"/>
    <n v="3600"/>
    <n v="20"/>
    <n v="404.16"/>
  </r>
  <r>
    <s v="AMZ10975"/>
    <x v="266"/>
    <s v="2025-03-17"/>
    <s v="Sneha"/>
    <x v="8"/>
    <x v="1"/>
    <s v="Tables"/>
    <x v="2"/>
    <s v="Karnataka"/>
    <s v="Bengaluru"/>
    <x v="2"/>
    <n v="4"/>
    <n v="32300"/>
    <n v="5"/>
    <n v="6124.71"/>
  </r>
  <r>
    <s v="AMZ10976"/>
    <x v="28"/>
    <s v="2025-01-28"/>
    <s v="Karan"/>
    <x v="6"/>
    <x v="0"/>
    <s v="Accessories"/>
    <x v="3"/>
    <s v="Punjab"/>
    <s v="Ludhiana"/>
    <x v="2"/>
    <n v="3"/>
    <n v="6270"/>
    <n v="5"/>
    <n v="1281.54"/>
  </r>
  <r>
    <s v="AMZ10977"/>
    <x v="148"/>
    <s v="2025-06-15"/>
    <s v="Neha"/>
    <x v="2"/>
    <x v="0"/>
    <s v="Accessories"/>
    <x v="2"/>
    <s v="Karnataka"/>
    <s v="Bengaluru"/>
    <x v="0"/>
    <n v="3"/>
    <n v="3600"/>
    <n v="20"/>
    <n v="289.48"/>
  </r>
  <r>
    <s v="AMZ10978"/>
    <x v="6"/>
    <s v="2025-10-24"/>
    <s v="Amit"/>
    <x v="1"/>
    <x v="1"/>
    <s v="Chairs"/>
    <x v="3"/>
    <s v="Delhi"/>
    <s v="New Delhi"/>
    <x v="0"/>
    <n v="5"/>
    <n v="29250"/>
    <n v="10"/>
    <n v="5436.41"/>
  </r>
  <r>
    <s v="AMZ10979"/>
    <x v="272"/>
    <s v="2025-04-29"/>
    <s v="Mehul"/>
    <x v="4"/>
    <x v="0"/>
    <s v="Printers"/>
    <x v="0"/>
    <s v="West Bengal"/>
    <s v="Kolkata"/>
    <x v="3"/>
    <n v="4"/>
    <n v="48000"/>
    <n v="0"/>
    <n v="4703.99"/>
  </r>
  <r>
    <s v="AMZ10980"/>
    <x v="102"/>
    <s v="2025-04-17"/>
    <s v="Priya"/>
    <x v="5"/>
    <x v="0"/>
    <s v="Accessories"/>
    <x v="1"/>
    <s v="Maharashtra"/>
    <s v="Mumbai"/>
    <x v="3"/>
    <n v="2"/>
    <n v="1530"/>
    <n v="15"/>
    <n v="243.42"/>
  </r>
  <r>
    <s v="AMZ10981"/>
    <x v="313"/>
    <s v="2025-02-18"/>
    <s v="Mehul"/>
    <x v="2"/>
    <x v="0"/>
    <s v="Accessories"/>
    <x v="0"/>
    <s v="Odisha"/>
    <s v="Bhubaneswar"/>
    <x v="2"/>
    <n v="3"/>
    <n v="4500"/>
    <n v="0"/>
    <n v="590.89"/>
  </r>
  <r>
    <s v="AMZ10982"/>
    <x v="246"/>
    <s v="2026-01-03"/>
    <s v="Vikas"/>
    <x v="5"/>
    <x v="0"/>
    <s v="Accessories"/>
    <x v="1"/>
    <s v="Gujarat"/>
    <s v="Surat"/>
    <x v="0"/>
    <n v="2"/>
    <n v="1620"/>
    <n v="10"/>
    <n v="186.94"/>
  </r>
  <r>
    <s v="AMZ10983"/>
    <x v="221"/>
    <s v="2025-05-23"/>
    <s v="Karan"/>
    <x v="6"/>
    <x v="0"/>
    <s v="Accessories"/>
    <x v="1"/>
    <s v="Maharashtra"/>
    <s v="Pune"/>
    <x v="1"/>
    <n v="5"/>
    <n v="9900"/>
    <n v="10"/>
    <n v="1250.72"/>
  </r>
  <r>
    <s v="AMZ10984"/>
    <x v="250"/>
    <s v="2025-09-02"/>
    <s v="Rahul"/>
    <x v="0"/>
    <x v="0"/>
    <s v="Computers"/>
    <x v="1"/>
    <s v="Maharashtra"/>
    <s v="Pune"/>
    <x v="2"/>
    <n v="2"/>
    <n v="88000"/>
    <n v="20"/>
    <n v="13356.49"/>
  </r>
  <r>
    <s v="AMZ10985"/>
    <x v="89"/>
    <s v="2025-08-26"/>
    <s v="Neha"/>
    <x v="6"/>
    <x v="0"/>
    <s v="Accessories"/>
    <x v="0"/>
    <s v="Odisha"/>
    <s v="Bhubaneswar"/>
    <x v="2"/>
    <n v="5"/>
    <n v="11000"/>
    <n v="0"/>
    <n v="1883.27"/>
  </r>
  <r>
    <s v="AMZ10986"/>
    <x v="335"/>
    <s v="2025-08-10"/>
    <s v="Amit"/>
    <x v="1"/>
    <x v="1"/>
    <s v="Chairs"/>
    <x v="0"/>
    <s v="West Bengal"/>
    <s v="Kolkata"/>
    <x v="1"/>
    <n v="4"/>
    <n v="22100"/>
    <n v="15"/>
    <n v="2525.09"/>
  </r>
  <r>
    <s v="AMZ10987"/>
    <x v="336"/>
    <s v="2025-07-05"/>
    <s v="Priya"/>
    <x v="3"/>
    <x v="2"/>
    <s v="Stationery"/>
    <x v="2"/>
    <s v="Karnataka"/>
    <s v="Bengaluru"/>
    <x v="2"/>
    <n v="1"/>
    <n v="297.5"/>
    <n v="15"/>
    <n v="56.11"/>
  </r>
  <r>
    <s v="AMZ10988"/>
    <x v="166"/>
    <s v="2025-02-25"/>
    <s v="Neha"/>
    <x v="5"/>
    <x v="0"/>
    <s v="Accessories"/>
    <x v="0"/>
    <s v="Odisha"/>
    <s v="Bhubaneswar"/>
    <x v="0"/>
    <n v="2"/>
    <n v="1530"/>
    <n v="15"/>
    <n v="194.32"/>
  </r>
  <r>
    <s v="AMZ10989"/>
    <x v="96"/>
    <s v="2025-08-28"/>
    <s v="Neha"/>
    <x v="5"/>
    <x v="0"/>
    <s v="Accessories"/>
    <x v="0"/>
    <s v="Odisha"/>
    <s v="Bhubaneswar"/>
    <x v="2"/>
    <n v="5"/>
    <n v="4275"/>
    <n v="5"/>
    <n v="822.35"/>
  </r>
  <r>
    <s v="AMZ10990"/>
    <x v="131"/>
    <s v="2025-03-24"/>
    <s v="Neha"/>
    <x v="1"/>
    <x v="1"/>
    <s v="Chairs"/>
    <x v="3"/>
    <s v="Delhi"/>
    <s v="New Delhi"/>
    <x v="0"/>
    <n v="4"/>
    <n v="24700"/>
    <n v="5"/>
    <n v="2820.36"/>
  </r>
  <r>
    <s v="AMZ10991"/>
    <x v="270"/>
    <s v="2025-01-11"/>
    <s v="Priya"/>
    <x v="0"/>
    <x v="0"/>
    <s v="Computers"/>
    <x v="2"/>
    <s v="Karnataka"/>
    <s v="Bengaluru"/>
    <x v="3"/>
    <n v="2"/>
    <n v="88000"/>
    <n v="20"/>
    <n v="10082.91"/>
  </r>
  <r>
    <s v="AMZ10992"/>
    <x v="206"/>
    <s v="2025-06-09"/>
    <s v="Vikas"/>
    <x v="7"/>
    <x v="3"/>
    <s v="Travel"/>
    <x v="0"/>
    <s v="West Bengal"/>
    <s v="Kolkata"/>
    <x v="0"/>
    <n v="2"/>
    <n v="3240"/>
    <n v="10"/>
    <n v="620.21"/>
  </r>
  <r>
    <s v="AMZ10993"/>
    <x v="167"/>
    <s v="2025-07-27"/>
    <s v="Vikas"/>
    <x v="4"/>
    <x v="0"/>
    <s v="Printers"/>
    <x v="0"/>
    <s v="West Bengal"/>
    <s v="Kolkata"/>
    <x v="2"/>
    <n v="5"/>
    <n v="60000"/>
    <n v="0"/>
    <n v="9192.8700000000008"/>
  </r>
  <r>
    <s v="AMZ10994"/>
    <x v="305"/>
    <s v="2025-06-05"/>
    <s v="Amit"/>
    <x v="1"/>
    <x v="1"/>
    <s v="Chairs"/>
    <x v="1"/>
    <s v="Gujarat"/>
    <s v="Surat"/>
    <x v="0"/>
    <n v="1"/>
    <n v="5850"/>
    <n v="10"/>
    <n v="529.62"/>
  </r>
  <r>
    <s v="AMZ10995"/>
    <x v="244"/>
    <s v="2025-03-13"/>
    <s v="Karan"/>
    <x v="1"/>
    <x v="1"/>
    <s v="Chairs"/>
    <x v="3"/>
    <s v="Punjab"/>
    <s v="Ludhiana"/>
    <x v="2"/>
    <n v="4"/>
    <n v="24700"/>
    <n v="5"/>
    <n v="5066.88"/>
  </r>
  <r>
    <s v="AMZ10996"/>
    <x v="112"/>
    <s v="2025-01-08"/>
    <s v="Prem"/>
    <x v="3"/>
    <x v="2"/>
    <s v="Stationery"/>
    <x v="3"/>
    <s v="Delhi"/>
    <s v="New Delhi"/>
    <x v="1"/>
    <n v="2"/>
    <n v="560"/>
    <n v="20"/>
    <n v="79.06"/>
  </r>
  <r>
    <s v="AMZ10997"/>
    <x v="189"/>
    <s v="2025-11-21"/>
    <s v="Neha"/>
    <x v="5"/>
    <x v="0"/>
    <s v="Accessories"/>
    <x v="1"/>
    <s v="Gujarat"/>
    <s v="Surat"/>
    <x v="3"/>
    <n v="1"/>
    <n v="855"/>
    <n v="5"/>
    <n v="175.23"/>
  </r>
  <r>
    <s v="AMZ10998"/>
    <x v="326"/>
    <s v="2025-02-06"/>
    <s v="Priya"/>
    <x v="8"/>
    <x v="1"/>
    <s v="Tables"/>
    <x v="2"/>
    <s v="Tamil Nadu"/>
    <s v="Chennai"/>
    <x v="2"/>
    <n v="2"/>
    <n v="14450"/>
    <n v="15"/>
    <n v="3080.09"/>
  </r>
  <r>
    <s v="AMZ10999"/>
    <x v="87"/>
    <s v="2025-01-31"/>
    <s v="Rahul"/>
    <x v="3"/>
    <x v="2"/>
    <s v="Stationery"/>
    <x v="2"/>
    <s v="Karnataka"/>
    <s v="Bengaluru"/>
    <x v="3"/>
    <n v="2"/>
    <n v="665"/>
    <n v="5"/>
    <n v="123.83"/>
  </r>
  <r>
    <s v="AMZ11000"/>
    <x v="254"/>
    <s v="2025-07-28"/>
    <s v="Karan"/>
    <x v="5"/>
    <x v="0"/>
    <s v="Accessories"/>
    <x v="2"/>
    <s v="Tamil Nadu"/>
    <s v="Chennai"/>
    <x v="2"/>
    <n v="2"/>
    <n v="1530"/>
    <n v="15"/>
    <n v="311.74"/>
  </r>
  <r>
    <s v="AMZ11001"/>
    <x v="163"/>
    <s v="2025-05-23"/>
    <s v="Sneha"/>
    <x v="0"/>
    <x v="0"/>
    <s v="Computers"/>
    <x v="0"/>
    <s v="West Bengal"/>
    <s v="Kolkata"/>
    <x v="1"/>
    <n v="4"/>
    <n v="187000"/>
    <n v="15"/>
    <n v="25306.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B31DB-165D-45C9-86A8-1425254F3A5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showAll="0"/>
    <pivotField axis="axisRow" showAll="0">
      <items count="6">
        <item x="3"/>
        <item x="0"/>
        <item x="1"/>
        <item x="4"/>
        <item x="2"/>
        <item t="default"/>
      </items>
    </pivotField>
    <pivotField showAll="0"/>
    <pivotField showAll="0"/>
    <pivotField showAll="0"/>
    <pivotField showAll="0"/>
    <pivotField showAll="0">
      <items count="5">
        <item h="1" x="3"/>
        <item x="1"/>
        <item h="1" x="0"/>
        <item h="1" x="2"/>
        <item t="default"/>
      </items>
    </pivotField>
    <pivotField showAll="0"/>
    <pivotField dataField="1" showAll="0"/>
    <pivotField showAll="0"/>
    <pivotField showAll="0"/>
    <pivotField showAll="0">
      <items count="2">
        <item x="0"/>
        <item t="default"/>
      </items>
    </pivotField>
  </pivotFields>
  <rowFields count="1">
    <field x="5"/>
  </rowFields>
  <rowItems count="6">
    <i>
      <x/>
    </i>
    <i>
      <x v="1"/>
    </i>
    <i>
      <x v="2"/>
    </i>
    <i>
      <x v="3"/>
    </i>
    <i>
      <x v="4"/>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421A3-2031-475A-AC3C-C1EC94FC8A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6">
    <pivotField showAll="0"/>
    <pivotField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showAll="0"/>
    <pivotField showAll="0"/>
    <pivotField showAll="0"/>
    <pivotField axis="axisRow" showAll="0">
      <items count="5">
        <item x="0"/>
        <item x="3"/>
        <item x="2"/>
        <item x="1"/>
        <item t="default"/>
      </items>
    </pivotField>
    <pivotField showAll="0"/>
    <pivotField showAll="0"/>
    <pivotField showAll="0">
      <items count="5">
        <item h="1" x="3"/>
        <item x="1"/>
        <item h="1" x="0"/>
        <item h="1" x="2"/>
        <item t="default"/>
      </items>
    </pivotField>
    <pivotField showAll="0"/>
    <pivotField dataField="1" showAll="0"/>
    <pivotField showAll="0"/>
    <pivotField showAll="0"/>
    <pivotField showAll="0">
      <items count="2">
        <item x="0"/>
        <item t="default"/>
      </items>
    </pivotField>
  </pivotFields>
  <rowFields count="1">
    <field x="7"/>
  </rowFields>
  <rowItems count="5">
    <i>
      <x/>
    </i>
    <i>
      <x v="1"/>
    </i>
    <i>
      <x v="2"/>
    </i>
    <i>
      <x v="3"/>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CBEA1B-EFE3-47C4-9BAB-087699CB71E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9" firstHeaderRow="1" firstDataRow="1" firstDataCol="1"/>
  <pivotFields count="16">
    <pivotField showAll="0"/>
    <pivotField axis="axisRow"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showAll="0"/>
    <pivotField showAll="0"/>
    <pivotField showAll="0"/>
    <pivotField showAll="0"/>
    <pivotField showAll="0"/>
    <pivotField showAll="0"/>
    <pivotField showAll="0">
      <items count="5">
        <item h="1" x="3"/>
        <item x="1"/>
        <item h="1" x="0"/>
        <item h="1" x="2"/>
        <item t="default"/>
      </items>
    </pivotField>
    <pivotField showAll="0"/>
    <pivotField dataField="1" showAll="0"/>
    <pivotField showAll="0"/>
    <pivotField showAll="0"/>
    <pivotField axis="axisRow" showAll="0">
      <items count="2">
        <item x="0"/>
        <item t="default"/>
      </items>
    </pivotField>
  </pivotFields>
  <rowFields count="2">
    <field x="15"/>
    <field x="1"/>
  </rowFields>
  <rowItems count="176">
    <i>
      <x/>
    </i>
    <i r="1">
      <x v="1"/>
    </i>
    <i r="1">
      <x v="2"/>
    </i>
    <i r="1">
      <x v="3"/>
    </i>
    <i r="1">
      <x v="6"/>
    </i>
    <i r="1">
      <x v="8"/>
    </i>
    <i r="1">
      <x v="9"/>
    </i>
    <i r="1">
      <x v="14"/>
    </i>
    <i r="1">
      <x v="15"/>
    </i>
    <i r="1">
      <x v="16"/>
    </i>
    <i r="1">
      <x v="17"/>
    </i>
    <i r="1">
      <x v="18"/>
    </i>
    <i r="1">
      <x v="19"/>
    </i>
    <i r="1">
      <x v="20"/>
    </i>
    <i r="1">
      <x v="23"/>
    </i>
    <i r="1">
      <x v="24"/>
    </i>
    <i r="1">
      <x v="27"/>
    </i>
    <i r="1">
      <x v="28"/>
    </i>
    <i r="1">
      <x v="29"/>
    </i>
    <i r="1">
      <x v="31"/>
    </i>
    <i r="1">
      <x v="33"/>
    </i>
    <i r="1">
      <x v="34"/>
    </i>
    <i r="1">
      <x v="43"/>
    </i>
    <i r="1">
      <x v="44"/>
    </i>
    <i r="1">
      <x v="45"/>
    </i>
    <i r="1">
      <x v="46"/>
    </i>
    <i r="1">
      <x v="47"/>
    </i>
    <i r="1">
      <x v="50"/>
    </i>
    <i r="1">
      <x v="51"/>
    </i>
    <i r="1">
      <x v="53"/>
    </i>
    <i r="1">
      <x v="57"/>
    </i>
    <i r="1">
      <x v="58"/>
    </i>
    <i r="1">
      <x v="59"/>
    </i>
    <i r="1">
      <x v="64"/>
    </i>
    <i r="1">
      <x v="65"/>
    </i>
    <i r="1">
      <x v="67"/>
    </i>
    <i r="1">
      <x v="68"/>
    </i>
    <i r="1">
      <x v="70"/>
    </i>
    <i r="1">
      <x v="74"/>
    </i>
    <i r="1">
      <x v="75"/>
    </i>
    <i r="1">
      <x v="78"/>
    </i>
    <i r="1">
      <x v="81"/>
    </i>
    <i r="1">
      <x v="83"/>
    </i>
    <i r="1">
      <x v="85"/>
    </i>
    <i r="1">
      <x v="86"/>
    </i>
    <i r="1">
      <x v="89"/>
    </i>
    <i r="1">
      <x v="91"/>
    </i>
    <i r="1">
      <x v="92"/>
    </i>
    <i r="1">
      <x v="93"/>
    </i>
    <i r="1">
      <x v="95"/>
    </i>
    <i r="1">
      <x v="96"/>
    </i>
    <i r="1">
      <x v="97"/>
    </i>
    <i r="1">
      <x v="98"/>
    </i>
    <i r="1">
      <x v="100"/>
    </i>
    <i r="1">
      <x v="102"/>
    </i>
    <i r="1">
      <x v="103"/>
    </i>
    <i r="1">
      <x v="108"/>
    </i>
    <i r="1">
      <x v="109"/>
    </i>
    <i r="1">
      <x v="110"/>
    </i>
    <i r="1">
      <x v="111"/>
    </i>
    <i r="1">
      <x v="112"/>
    </i>
    <i r="1">
      <x v="113"/>
    </i>
    <i r="1">
      <x v="118"/>
    </i>
    <i r="1">
      <x v="120"/>
    </i>
    <i r="1">
      <x v="121"/>
    </i>
    <i r="1">
      <x v="122"/>
    </i>
    <i r="1">
      <x v="123"/>
    </i>
    <i r="1">
      <x v="124"/>
    </i>
    <i r="1">
      <x v="127"/>
    </i>
    <i r="1">
      <x v="128"/>
    </i>
    <i r="1">
      <x v="131"/>
    </i>
    <i r="1">
      <x v="136"/>
    </i>
    <i r="1">
      <x v="138"/>
    </i>
    <i r="1">
      <x v="140"/>
    </i>
    <i r="1">
      <x v="141"/>
    </i>
    <i r="1">
      <x v="143"/>
    </i>
    <i r="1">
      <x v="144"/>
    </i>
    <i r="1">
      <x v="147"/>
    </i>
    <i r="1">
      <x v="151"/>
    </i>
    <i r="1">
      <x v="154"/>
    </i>
    <i r="1">
      <x v="155"/>
    </i>
    <i r="1">
      <x v="156"/>
    </i>
    <i r="1">
      <x v="158"/>
    </i>
    <i r="1">
      <x v="169"/>
    </i>
    <i r="1">
      <x v="172"/>
    </i>
    <i r="1">
      <x v="174"/>
    </i>
    <i r="1">
      <x v="175"/>
    </i>
    <i r="1">
      <x v="176"/>
    </i>
    <i r="1">
      <x v="177"/>
    </i>
    <i r="1">
      <x v="178"/>
    </i>
    <i r="1">
      <x v="180"/>
    </i>
    <i r="1">
      <x v="181"/>
    </i>
    <i r="1">
      <x v="187"/>
    </i>
    <i r="1">
      <x v="188"/>
    </i>
    <i r="1">
      <x v="190"/>
    </i>
    <i r="1">
      <x v="191"/>
    </i>
    <i r="1">
      <x v="192"/>
    </i>
    <i r="1">
      <x v="195"/>
    </i>
    <i r="1">
      <x v="196"/>
    </i>
    <i r="1">
      <x v="198"/>
    </i>
    <i r="1">
      <x v="199"/>
    </i>
    <i r="1">
      <x v="200"/>
    </i>
    <i r="1">
      <x v="201"/>
    </i>
    <i r="1">
      <x v="202"/>
    </i>
    <i r="1">
      <x v="203"/>
    </i>
    <i r="1">
      <x v="204"/>
    </i>
    <i r="1">
      <x v="206"/>
    </i>
    <i r="1">
      <x v="210"/>
    </i>
    <i r="1">
      <x v="212"/>
    </i>
    <i r="1">
      <x v="215"/>
    </i>
    <i r="1">
      <x v="216"/>
    </i>
    <i r="1">
      <x v="219"/>
    </i>
    <i r="1">
      <x v="227"/>
    </i>
    <i r="1">
      <x v="228"/>
    </i>
    <i r="1">
      <x v="231"/>
    </i>
    <i r="1">
      <x v="233"/>
    </i>
    <i r="1">
      <x v="237"/>
    </i>
    <i r="1">
      <x v="238"/>
    </i>
    <i r="1">
      <x v="240"/>
    </i>
    <i r="1">
      <x v="242"/>
    </i>
    <i r="1">
      <x v="243"/>
    </i>
    <i r="1">
      <x v="244"/>
    </i>
    <i r="1">
      <x v="247"/>
    </i>
    <i r="1">
      <x v="248"/>
    </i>
    <i r="1">
      <x v="249"/>
    </i>
    <i r="1">
      <x v="250"/>
    </i>
    <i r="1">
      <x v="252"/>
    </i>
    <i r="1">
      <x v="254"/>
    </i>
    <i r="1">
      <x v="255"/>
    </i>
    <i r="1">
      <x v="256"/>
    </i>
    <i r="1">
      <x v="259"/>
    </i>
    <i r="1">
      <x v="260"/>
    </i>
    <i r="1">
      <x v="263"/>
    </i>
    <i r="1">
      <x v="264"/>
    </i>
    <i r="1">
      <x v="266"/>
    </i>
    <i r="1">
      <x v="267"/>
    </i>
    <i r="1">
      <x v="271"/>
    </i>
    <i r="1">
      <x v="272"/>
    </i>
    <i r="1">
      <x v="274"/>
    </i>
    <i r="1">
      <x v="275"/>
    </i>
    <i r="1">
      <x v="276"/>
    </i>
    <i r="1">
      <x v="277"/>
    </i>
    <i r="1">
      <x v="278"/>
    </i>
    <i r="1">
      <x v="279"/>
    </i>
    <i r="1">
      <x v="280"/>
    </i>
    <i r="1">
      <x v="281"/>
    </i>
    <i r="1">
      <x v="282"/>
    </i>
    <i r="1">
      <x v="283"/>
    </i>
    <i r="1">
      <x v="285"/>
    </i>
    <i r="1">
      <x v="286"/>
    </i>
    <i r="1">
      <x v="287"/>
    </i>
    <i r="1">
      <x v="288"/>
    </i>
    <i r="1">
      <x v="289"/>
    </i>
    <i r="1">
      <x v="290"/>
    </i>
    <i r="1">
      <x v="297"/>
    </i>
    <i r="1">
      <x v="298"/>
    </i>
    <i r="1">
      <x v="300"/>
    </i>
    <i r="1">
      <x v="302"/>
    </i>
    <i r="1">
      <x v="304"/>
    </i>
    <i r="1">
      <x v="306"/>
    </i>
    <i r="1">
      <x v="307"/>
    </i>
    <i r="1">
      <x v="310"/>
    </i>
    <i r="1">
      <x v="312"/>
    </i>
    <i r="1">
      <x v="314"/>
    </i>
    <i r="1">
      <x v="317"/>
    </i>
    <i r="1">
      <x v="318"/>
    </i>
    <i r="1">
      <x v="319"/>
    </i>
    <i r="1">
      <x v="321"/>
    </i>
    <i r="1">
      <x v="324"/>
    </i>
    <i r="1">
      <x v="325"/>
    </i>
    <i r="1">
      <x v="328"/>
    </i>
    <i r="1">
      <x v="330"/>
    </i>
    <i r="1">
      <x v="333"/>
    </i>
    <i r="1">
      <x v="334"/>
    </i>
    <i r="1">
      <x v="335"/>
    </i>
    <i t="grand">
      <x/>
    </i>
  </rowItems>
  <colItems count="1">
    <i/>
  </colItems>
  <dataFields count="1">
    <dataField name="Sum of Sale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5057E9-2019-4875-9AD9-DF6F92EF4F9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showAll="0">
      <items count="11">
        <item x="7"/>
        <item x="6"/>
        <item x="2"/>
        <item x="0"/>
        <item x="3"/>
        <item x="1"/>
        <item x="4"/>
        <item x="8"/>
        <item x="9"/>
        <item x="5"/>
        <item t="default"/>
      </items>
    </pivotField>
    <pivotField axis="axisRow" showAll="0">
      <items count="6">
        <item x="3"/>
        <item x="0"/>
        <item x="1"/>
        <item x="4"/>
        <item x="2"/>
        <item t="default"/>
      </items>
    </pivotField>
    <pivotField showAll="0"/>
    <pivotField showAll="0"/>
    <pivotField showAll="0"/>
    <pivotField showAll="0"/>
    <pivotField showAll="0">
      <items count="5">
        <item h="1" x="3"/>
        <item x="1"/>
        <item h="1" x="0"/>
        <item h="1" x="2"/>
        <item t="default"/>
      </items>
    </pivotField>
    <pivotField showAll="0"/>
    <pivotField showAll="0"/>
    <pivotField showAll="0"/>
    <pivotField dataField="1" showAll="0"/>
    <pivotField showAll="0" defaultSubtotal="0">
      <items count="1">
        <item x="0"/>
      </items>
    </pivotField>
  </pivotFields>
  <rowFields count="1">
    <field x="5"/>
  </rowFields>
  <rowItems count="6">
    <i>
      <x/>
    </i>
    <i>
      <x v="1"/>
    </i>
    <i>
      <x v="2"/>
    </i>
    <i>
      <x v="3"/>
    </i>
    <i>
      <x v="4"/>
    </i>
    <i t="grand">
      <x/>
    </i>
  </rowItems>
  <colItems count="1">
    <i/>
  </colItems>
  <dataFields count="1">
    <dataField name="Sum of Profit"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F164A-6C64-4EB8-8F3C-F2FFF13A0B7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6">
    <pivotField showAll="0"/>
    <pivotField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axis="axisRow" showAll="0" measureFilter="1" sortType="descending">
      <items count="11">
        <item x="7"/>
        <item x="6"/>
        <item x="2"/>
        <item x="0"/>
        <item x="3"/>
        <item x="1"/>
        <item x="4"/>
        <item x="8"/>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h="1" x="3"/>
        <item x="1"/>
        <item h="1" x="0"/>
        <item h="1" x="2"/>
        <item t="default"/>
      </items>
    </pivotField>
    <pivotField showAll="0"/>
    <pivotField dataField="1" showAll="0"/>
    <pivotField showAll="0"/>
    <pivotField showAll="0"/>
    <pivotField showAll="0" defaultSubtotal="0">
      <items count="1">
        <item x="0"/>
      </items>
    </pivotField>
  </pivotFields>
  <rowFields count="1">
    <field x="4"/>
  </rowFields>
  <rowItems count="11">
    <i>
      <x v="3"/>
    </i>
    <i>
      <x v="7"/>
    </i>
    <i>
      <x v="6"/>
    </i>
    <i>
      <x v="5"/>
    </i>
    <i>
      <x v="1"/>
    </i>
    <i>
      <x/>
    </i>
    <i>
      <x v="9"/>
    </i>
    <i>
      <x v="2"/>
    </i>
    <i>
      <x v="8"/>
    </i>
    <i>
      <x v="4"/>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5121D4-7CA3-47F4-926F-A0E90B6AFE4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6">
    <pivotField showAll="0"/>
    <pivotField showAll="0">
      <items count="338">
        <item x="215"/>
        <item x="156"/>
        <item x="50"/>
        <item x="112"/>
        <item x="190"/>
        <item x="185"/>
        <item x="217"/>
        <item x="80"/>
        <item x="130"/>
        <item x="270"/>
        <item x="24"/>
        <item x="11"/>
        <item x="162"/>
        <item x="176"/>
        <item x="180"/>
        <item x="154"/>
        <item x="228"/>
        <item x="281"/>
        <item x="200"/>
        <item x="307"/>
        <item x="90"/>
        <item x="134"/>
        <item x="87"/>
        <item x="226"/>
        <item x="28"/>
        <item x="203"/>
        <item x="110"/>
        <item x="109"/>
        <item x="104"/>
        <item x="178"/>
        <item x="279"/>
        <item x="2"/>
        <item x="56"/>
        <item x="326"/>
        <item x="52"/>
        <item x="273"/>
        <item x="186"/>
        <item x="98"/>
        <item x="91"/>
        <item x="313"/>
        <item x="218"/>
        <item x="216"/>
        <item x="138"/>
        <item x="32"/>
        <item x="49"/>
        <item x="172"/>
        <item x="204"/>
        <item x="166"/>
        <item x="199"/>
        <item x="17"/>
        <item x="114"/>
        <item x="63"/>
        <item x="330"/>
        <item x="219"/>
        <item x="46"/>
        <item x="327"/>
        <item x="93"/>
        <item x="277"/>
        <item x="267"/>
        <item x="179"/>
        <item x="244"/>
        <item x="251"/>
        <item x="66"/>
        <item x="323"/>
        <item x="266"/>
        <item x="94"/>
        <item x="18"/>
        <item x="174"/>
        <item x="144"/>
        <item x="195"/>
        <item x="131"/>
        <item x="164"/>
        <item x="19"/>
        <item x="68"/>
        <item x="120"/>
        <item x="165"/>
        <item x="59"/>
        <item x="325"/>
        <item x="62"/>
        <item x="283"/>
        <item x="214"/>
        <item x="261"/>
        <item x="3"/>
        <item x="67"/>
        <item x="297"/>
        <item x="170"/>
        <item x="21"/>
        <item x="322"/>
        <item x="183"/>
        <item x="132"/>
        <item x="224"/>
        <item x="161"/>
        <item x="234"/>
        <item x="45"/>
        <item x="102"/>
        <item x="117"/>
        <item x="259"/>
        <item x="111"/>
        <item x="43"/>
        <item x="253"/>
        <item x="252"/>
        <item x="31"/>
        <item x="42"/>
        <item x="57"/>
        <item x="298"/>
        <item x="272"/>
        <item x="233"/>
        <item x="136"/>
        <item x="173"/>
        <item x="92"/>
        <item x="1"/>
        <item x="289"/>
        <item x="75"/>
        <item x="212"/>
        <item x="160"/>
        <item x="295"/>
        <item x="310"/>
        <item x="16"/>
        <item x="242"/>
        <item x="316"/>
        <item x="207"/>
        <item x="202"/>
        <item x="210"/>
        <item x="302"/>
        <item x="230"/>
        <item x="285"/>
        <item x="74"/>
        <item x="40"/>
        <item x="163"/>
        <item x="29"/>
        <item x="235"/>
        <item x="221"/>
        <item x="197"/>
        <item x="38"/>
        <item x="151"/>
        <item x="55"/>
        <item x="208"/>
        <item x="239"/>
        <item x="305"/>
        <item x="103"/>
        <item x="331"/>
        <item x="22"/>
        <item x="288"/>
        <item x="206"/>
        <item x="247"/>
        <item x="290"/>
        <item x="115"/>
        <item x="51"/>
        <item x="15"/>
        <item x="294"/>
        <item x="71"/>
        <item x="60"/>
        <item x="182"/>
        <item x="177"/>
        <item x="148"/>
        <item x="220"/>
        <item x="271"/>
        <item x="9"/>
        <item x="282"/>
        <item x="291"/>
        <item x="137"/>
        <item x="318"/>
        <item x="296"/>
        <item x="315"/>
        <item x="293"/>
        <item x="332"/>
        <item x="142"/>
        <item x="70"/>
        <item x="201"/>
        <item x="155"/>
        <item x="238"/>
        <item x="336"/>
        <item x="30"/>
        <item x="263"/>
        <item x="27"/>
        <item x="82"/>
        <item x="192"/>
        <item x="196"/>
        <item x="47"/>
        <item x="26"/>
        <item x="44"/>
        <item x="121"/>
        <item x="268"/>
        <item x="175"/>
        <item x="167"/>
        <item x="254"/>
        <item x="243"/>
        <item x="255"/>
        <item x="159"/>
        <item x="334"/>
        <item x="79"/>
        <item x="262"/>
        <item x="205"/>
        <item x="229"/>
        <item x="139"/>
        <item x="269"/>
        <item x="187"/>
        <item x="141"/>
        <item x="129"/>
        <item x="335"/>
        <item x="258"/>
        <item x="211"/>
        <item x="113"/>
        <item x="23"/>
        <item x="149"/>
        <item x="145"/>
        <item x="153"/>
        <item x="64"/>
        <item x="240"/>
        <item x="158"/>
        <item x="37"/>
        <item x="97"/>
        <item x="7"/>
        <item x="89"/>
        <item x="308"/>
        <item x="135"/>
        <item x="181"/>
        <item x="25"/>
        <item x="96"/>
        <item x="260"/>
        <item x="317"/>
        <item x="133"/>
        <item x="250"/>
        <item x="320"/>
        <item x="20"/>
        <item x="264"/>
        <item x="88"/>
        <item x="81"/>
        <item x="223"/>
        <item x="78"/>
        <item x="13"/>
        <item x="4"/>
        <item x="276"/>
        <item x="249"/>
        <item x="299"/>
        <item x="116"/>
        <item x="324"/>
        <item x="127"/>
        <item x="126"/>
        <item x="309"/>
        <item x="256"/>
        <item x="184"/>
        <item x="36"/>
        <item x="248"/>
        <item x="152"/>
        <item x="292"/>
        <item x="284"/>
        <item x="119"/>
        <item x="10"/>
        <item x="274"/>
        <item x="236"/>
        <item x="304"/>
        <item x="227"/>
        <item x="301"/>
        <item x="303"/>
        <item x="34"/>
        <item x="53"/>
        <item x="69"/>
        <item x="237"/>
        <item x="128"/>
        <item x="84"/>
        <item x="241"/>
        <item x="86"/>
        <item x="61"/>
        <item x="222"/>
        <item x="193"/>
        <item x="54"/>
        <item x="225"/>
        <item x="39"/>
        <item x="333"/>
        <item x="106"/>
        <item x="101"/>
        <item x="6"/>
        <item x="83"/>
        <item x="146"/>
        <item x="77"/>
        <item x="194"/>
        <item x="232"/>
        <item x="275"/>
        <item x="198"/>
        <item x="8"/>
        <item x="286"/>
        <item x="306"/>
        <item x="0"/>
        <item x="35"/>
        <item x="76"/>
        <item x="245"/>
        <item x="85"/>
        <item x="124"/>
        <item x="48"/>
        <item x="95"/>
        <item x="311"/>
        <item x="213"/>
        <item x="265"/>
        <item x="314"/>
        <item x="188"/>
        <item x="123"/>
        <item x="189"/>
        <item x="107"/>
        <item x="169"/>
        <item x="65"/>
        <item x="125"/>
        <item x="150"/>
        <item x="257"/>
        <item x="41"/>
        <item x="147"/>
        <item x="33"/>
        <item x="72"/>
        <item x="73"/>
        <item x="122"/>
        <item x="100"/>
        <item x="287"/>
        <item x="278"/>
        <item x="329"/>
        <item x="12"/>
        <item x="321"/>
        <item x="140"/>
        <item x="191"/>
        <item x="280"/>
        <item x="5"/>
        <item x="168"/>
        <item x="108"/>
        <item x="209"/>
        <item x="312"/>
        <item x="171"/>
        <item x="14"/>
        <item x="231"/>
        <item x="157"/>
        <item x="58"/>
        <item x="328"/>
        <item x="143"/>
        <item x="99"/>
        <item x="319"/>
        <item x="118"/>
        <item x="105"/>
        <item x="246"/>
        <item x="300"/>
        <item t="default"/>
      </items>
    </pivotField>
    <pivotField showAll="0"/>
    <pivotField showAll="0"/>
    <pivotField showAll="0"/>
    <pivotField showAll="0">
      <items count="6">
        <item h="1" x="3"/>
        <item x="0"/>
        <item h="1" x="1"/>
        <item h="1" x="4"/>
        <item h="1" x="2"/>
        <item t="default"/>
      </items>
    </pivotField>
    <pivotField showAll="0"/>
    <pivotField showAll="0">
      <items count="5">
        <item h="1" x="0"/>
        <item x="3"/>
        <item h="1" x="2"/>
        <item h="1" x="1"/>
        <item t="default"/>
      </items>
    </pivotField>
    <pivotField showAll="0"/>
    <pivotField showAll="0"/>
    <pivotField axis="axisRow" showAll="0">
      <items count="5">
        <item h="1" x="3"/>
        <item x="1"/>
        <item h="1" x="0"/>
        <item h="1" x="2"/>
        <item t="default"/>
      </items>
    </pivotField>
    <pivotField showAll="0"/>
    <pivotField dataField="1" showAll="0"/>
    <pivotField showAll="0"/>
    <pivotField showAll="0"/>
    <pivotField showAll="0" defaultSubtotal="0">
      <items count="1">
        <item x="0"/>
      </items>
    </pivotField>
  </pivotFields>
  <rowFields count="1">
    <field x="10"/>
  </rowFields>
  <rowItems count="2">
    <i>
      <x v="1"/>
    </i>
    <i t="grand">
      <x/>
    </i>
  </rowItems>
  <colItems count="1">
    <i/>
  </colItems>
  <dataFields count="1">
    <dataField name="Sum of Sales" fld="12" baseField="0" baseItem="0"/>
  </dataField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04C273-026E-403B-AFB9-4793DBC665AC}" sourceName="Ship Mode">
  <pivotTables>
    <pivotTable tabId="9" name="PivotTable6"/>
    <pivotTable tabId="3" name="PivotTable1"/>
    <pivotTable tabId="4" name="PivotTable2"/>
    <pivotTable tabId="5" name="PivotTable3"/>
    <pivotTable tabId="6" name="PivotTable4"/>
    <pivotTable tabId="7" name="PivotTable5"/>
  </pivotTables>
  <data>
    <tabular pivotCacheId="1180232110">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45A39F-DA36-44B6-8865-5762F18FB865}" sourceName="Region">
  <pivotTables>
    <pivotTable tabId="9" name="PivotTable6"/>
  </pivotTables>
  <data>
    <tabular pivotCacheId="1180232110">
      <items count="4">
        <i x="0"/>
        <i x="3"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78A097-960B-4F18-80E9-B9061F17EA3D}" sourceName="Category">
  <pivotTables>
    <pivotTable tabId="9" name="PivotTable6"/>
  </pivotTables>
  <data>
    <tabular pivotCacheId="1180232110">
      <items count="5">
        <i x="3"/>
        <i x="0" s="1"/>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CEA1DB0-750D-40E5-AE20-EEC96D589F52}" cache="Slicer_Ship_Mode" caption="Ship Mode" style="SlicerStyleLight2" rowHeight="234950"/>
  <slicer name="Region" xr10:uid="{5B938B3F-6B32-4625-9757-C4D8C23FC3D8}" cache="Slicer_Region" caption="Region" style="SlicerStyleLight2" rowHeight="234950"/>
  <slicer name="Category" xr10:uid="{08EE6E6F-91B7-486B-8092-EE9A986B3C83}" cache="Slicer_Category"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3782F7-07E4-4EAA-9ED9-755F914F7966}" name="AmazonSales" displayName="AmazonSales" ref="A1:O1001" totalsRowShown="0">
  <autoFilter ref="A1:O1001" xr:uid="{C63782F7-07E4-4EAA-9ED9-755F914F7966}"/>
  <tableColumns count="15">
    <tableColumn id="1" xr3:uid="{67A9E49A-F203-4515-BD25-99D44A1E3069}" name="Order ID"/>
    <tableColumn id="2" xr3:uid="{46BC5F1A-207F-4F7B-8FE7-C23AC814A2DC}" name="Order Date"/>
    <tableColumn id="3" xr3:uid="{6CC4A59A-B89D-4BE6-BB85-00636B3862E6}" name="Ship Date"/>
    <tableColumn id="4" xr3:uid="{6F085B41-31AB-468C-B3D5-75B3C2E31AED}" name="Customer Name"/>
    <tableColumn id="5" xr3:uid="{EA217BD9-31BF-4988-B005-F7223AA2AFB5}" name="Product Name"/>
    <tableColumn id="6" xr3:uid="{00C3085A-772D-4866-A09F-92908902C228}" name="Category"/>
    <tableColumn id="7" xr3:uid="{E8BDA1F5-FA2C-4B8E-8314-6B0AE28D8E3A}" name="Sub-Category"/>
    <tableColumn id="8" xr3:uid="{4B0AF36B-2B2B-4664-9188-0BF6F20040D2}" name="Region"/>
    <tableColumn id="9" xr3:uid="{C3BAB936-F80D-4236-87D9-BAB2A75EB794}" name="State"/>
    <tableColumn id="10" xr3:uid="{3D3994CC-A2AE-4ED6-A0EE-A3D292AEE5B8}" name="City"/>
    <tableColumn id="11" xr3:uid="{93A92F42-1519-4D22-8C04-101C150FBEE1}" name="Ship Mode"/>
    <tableColumn id="12" xr3:uid="{BA2651DE-7822-4CA3-8365-10C7D7E6CC83}" name="Quantity"/>
    <tableColumn id="13" xr3:uid="{F5F2DA4D-5B7C-40EC-984B-AEC2AE35817D}" name="Sales"/>
    <tableColumn id="14" xr3:uid="{98BBEA6F-C0B3-47AD-BA50-D26FFCB12400}" name="Discount"/>
    <tableColumn id="15" xr3:uid="{C92986C6-8CEE-477C-9BAF-41136B39668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5305-8767-493B-B694-767888856688}">
  <dimension ref="A3:B9"/>
  <sheetViews>
    <sheetView workbookViewId="0">
      <selection activeCell="B6" sqref="B6"/>
    </sheetView>
  </sheetViews>
  <sheetFormatPr defaultRowHeight="14.4" x14ac:dyDescent="0.3"/>
  <cols>
    <col min="1" max="1" width="13.109375" bestFit="1" customWidth="1"/>
    <col min="2" max="2" width="11.6640625" bestFit="1" customWidth="1"/>
  </cols>
  <sheetData>
    <row r="3" spans="1:2" x14ac:dyDescent="0.3">
      <c r="A3" s="1" t="s">
        <v>1447</v>
      </c>
      <c r="B3" t="s">
        <v>1449</v>
      </c>
    </row>
    <row r="4" spans="1:2" x14ac:dyDescent="0.3">
      <c r="A4" s="2" t="s">
        <v>114</v>
      </c>
      <c r="B4" s="11">
        <v>99720</v>
      </c>
    </row>
    <row r="5" spans="1:2" x14ac:dyDescent="0.3">
      <c r="A5" s="2" t="s">
        <v>20</v>
      </c>
      <c r="B5" s="11">
        <v>4268690</v>
      </c>
    </row>
    <row r="6" spans="1:2" x14ac:dyDescent="0.3">
      <c r="A6" s="2" t="s">
        <v>31</v>
      </c>
      <c r="B6" s="11">
        <v>1138050</v>
      </c>
    </row>
    <row r="7" spans="1:2" x14ac:dyDescent="0.3">
      <c r="A7" s="2" t="s">
        <v>131</v>
      </c>
      <c r="B7" s="11">
        <v>28957.5</v>
      </c>
    </row>
    <row r="8" spans="1:2" x14ac:dyDescent="0.3">
      <c r="A8" s="2" t="s">
        <v>57</v>
      </c>
      <c r="B8" s="11">
        <v>26582.5</v>
      </c>
    </row>
    <row r="9" spans="1:2" x14ac:dyDescent="0.3">
      <c r="A9" s="2" t="s">
        <v>1448</v>
      </c>
      <c r="B9" s="11">
        <v>5562000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DA48-516E-4553-A9E5-B4A8BCC53776}">
  <dimension ref="A3:B8"/>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1" t="s">
        <v>1447</v>
      </c>
      <c r="B3" t="s">
        <v>1449</v>
      </c>
    </row>
    <row r="4" spans="1:2" x14ac:dyDescent="0.3">
      <c r="A4" s="2" t="s">
        <v>22</v>
      </c>
      <c r="B4" s="11">
        <v>1250167.5</v>
      </c>
    </row>
    <row r="5" spans="1:2" x14ac:dyDescent="0.3">
      <c r="A5" s="2" t="s">
        <v>59</v>
      </c>
      <c r="B5" s="11">
        <v>1112150</v>
      </c>
    </row>
    <row r="6" spans="1:2" x14ac:dyDescent="0.3">
      <c r="A6" s="2" t="s">
        <v>40</v>
      </c>
      <c r="B6" s="11">
        <v>1555372.5</v>
      </c>
    </row>
    <row r="7" spans="1:2" x14ac:dyDescent="0.3">
      <c r="A7" s="2" t="s">
        <v>33</v>
      </c>
      <c r="B7" s="11">
        <v>1644310</v>
      </c>
    </row>
    <row r="8" spans="1:2" x14ac:dyDescent="0.3">
      <c r="A8" s="2" t="s">
        <v>1448</v>
      </c>
      <c r="B8" s="11">
        <v>5562000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0225B-F04D-4520-B5AD-63B2AB8EF1EC}">
  <dimension ref="A3:B179"/>
  <sheetViews>
    <sheetView workbookViewId="0">
      <selection activeCell="A5" sqref="A5:A341"/>
    </sheetView>
  </sheetViews>
  <sheetFormatPr defaultRowHeight="14.4" x14ac:dyDescent="0.3"/>
  <cols>
    <col min="1" max="1" width="14.33203125" bestFit="1" customWidth="1"/>
    <col min="2" max="2" width="11.6640625" bestFit="1" customWidth="1"/>
  </cols>
  <sheetData>
    <row r="3" spans="1:2" x14ac:dyDescent="0.3">
      <c r="A3" s="1" t="s">
        <v>1447</v>
      </c>
      <c r="B3" t="s">
        <v>1449</v>
      </c>
    </row>
    <row r="4" spans="1:2" x14ac:dyDescent="0.3">
      <c r="A4" s="2" t="s">
        <v>1450</v>
      </c>
      <c r="B4" s="11">
        <v>5562000</v>
      </c>
    </row>
    <row r="5" spans="1:2" x14ac:dyDescent="0.3">
      <c r="A5" s="3" t="s">
        <v>532</v>
      </c>
      <c r="B5" s="11">
        <v>2550</v>
      </c>
    </row>
    <row r="6" spans="1:2" x14ac:dyDescent="0.3">
      <c r="A6" s="3" t="s">
        <v>225</v>
      </c>
      <c r="B6" s="11">
        <v>8075</v>
      </c>
    </row>
    <row r="7" spans="1:2" x14ac:dyDescent="0.3">
      <c r="A7" s="3" t="s">
        <v>396</v>
      </c>
      <c r="B7" s="11">
        <v>32860</v>
      </c>
    </row>
    <row r="8" spans="1:2" x14ac:dyDescent="0.3">
      <c r="A8" s="3" t="s">
        <v>508</v>
      </c>
      <c r="B8" s="11">
        <v>35100</v>
      </c>
    </row>
    <row r="9" spans="1:2" x14ac:dyDescent="0.3">
      <c r="A9" s="3" t="s">
        <v>457</v>
      </c>
      <c r="B9" s="11">
        <v>85425</v>
      </c>
    </row>
    <row r="10" spans="1:2" x14ac:dyDescent="0.3">
      <c r="A10" s="3" t="s">
        <v>226</v>
      </c>
      <c r="B10" s="11">
        <v>31675</v>
      </c>
    </row>
    <row r="11" spans="1:2" x14ac:dyDescent="0.3">
      <c r="A11" s="3" t="s">
        <v>179</v>
      </c>
      <c r="B11" s="11">
        <v>2850</v>
      </c>
    </row>
    <row r="12" spans="1:2" x14ac:dyDescent="0.3">
      <c r="A12" s="3" t="s">
        <v>145</v>
      </c>
      <c r="B12" s="11">
        <v>1870</v>
      </c>
    </row>
    <row r="13" spans="1:2" x14ac:dyDescent="0.3">
      <c r="A13" s="3" t="s">
        <v>765</v>
      </c>
      <c r="B13" s="11">
        <v>109630</v>
      </c>
    </row>
    <row r="14" spans="1:2" x14ac:dyDescent="0.3">
      <c r="A14" s="3" t="s">
        <v>766</v>
      </c>
      <c r="B14" s="11">
        <v>8550</v>
      </c>
    </row>
    <row r="15" spans="1:2" x14ac:dyDescent="0.3">
      <c r="A15" s="3" t="s">
        <v>592</v>
      </c>
      <c r="B15" s="11">
        <v>51000</v>
      </c>
    </row>
    <row r="16" spans="1:2" x14ac:dyDescent="0.3">
      <c r="A16" s="3" t="s">
        <v>558</v>
      </c>
      <c r="B16" s="11">
        <v>6562.5</v>
      </c>
    </row>
    <row r="17" spans="1:2" x14ac:dyDescent="0.3">
      <c r="A17" s="3" t="s">
        <v>336</v>
      </c>
      <c r="B17" s="11">
        <v>32400</v>
      </c>
    </row>
    <row r="18" spans="1:2" x14ac:dyDescent="0.3">
      <c r="A18" s="3" t="s">
        <v>758</v>
      </c>
      <c r="B18" s="11">
        <v>211880</v>
      </c>
    </row>
    <row r="19" spans="1:2" x14ac:dyDescent="0.3">
      <c r="A19" s="3" t="s">
        <v>158</v>
      </c>
      <c r="B19" s="11">
        <v>9900</v>
      </c>
    </row>
    <row r="20" spans="1:2" x14ac:dyDescent="0.3">
      <c r="A20" s="3" t="s">
        <v>389</v>
      </c>
      <c r="B20" s="11">
        <v>9350</v>
      </c>
    </row>
    <row r="21" spans="1:2" x14ac:dyDescent="0.3">
      <c r="A21" s="3" t="s">
        <v>377</v>
      </c>
      <c r="B21" s="11">
        <v>3960</v>
      </c>
    </row>
    <row r="22" spans="1:2" x14ac:dyDescent="0.3">
      <c r="A22" s="3" t="s">
        <v>445</v>
      </c>
      <c r="B22" s="11">
        <v>57000</v>
      </c>
    </row>
    <row r="23" spans="1:2" x14ac:dyDescent="0.3">
      <c r="A23" s="3" t="s">
        <v>37</v>
      </c>
      <c r="B23" s="11">
        <v>222152.5</v>
      </c>
    </row>
    <row r="24" spans="1:2" x14ac:dyDescent="0.3">
      <c r="A24" s="3" t="s">
        <v>378</v>
      </c>
      <c r="B24" s="11">
        <v>3960</v>
      </c>
    </row>
    <row r="25" spans="1:2" x14ac:dyDescent="0.3">
      <c r="A25" s="3" t="s">
        <v>231</v>
      </c>
      <c r="B25" s="11">
        <v>350</v>
      </c>
    </row>
    <row r="26" spans="1:2" x14ac:dyDescent="0.3">
      <c r="A26" s="3" t="s">
        <v>170</v>
      </c>
      <c r="B26" s="11">
        <v>2610</v>
      </c>
    </row>
    <row r="27" spans="1:2" x14ac:dyDescent="0.3">
      <c r="A27" s="3" t="s">
        <v>222</v>
      </c>
      <c r="B27" s="11">
        <v>44000</v>
      </c>
    </row>
    <row r="28" spans="1:2" x14ac:dyDescent="0.3">
      <c r="A28" s="3" t="s">
        <v>582</v>
      </c>
      <c r="B28" s="11">
        <v>945</v>
      </c>
    </row>
    <row r="29" spans="1:2" x14ac:dyDescent="0.3">
      <c r="A29" s="3" t="s">
        <v>171</v>
      </c>
      <c r="B29" s="11">
        <v>233750</v>
      </c>
    </row>
    <row r="30" spans="1:2" x14ac:dyDescent="0.3">
      <c r="A30" s="3" t="s">
        <v>566</v>
      </c>
      <c r="B30" s="11">
        <v>332.5</v>
      </c>
    </row>
    <row r="31" spans="1:2" x14ac:dyDescent="0.3">
      <c r="A31" s="3" t="s">
        <v>223</v>
      </c>
      <c r="B31" s="11">
        <v>3060</v>
      </c>
    </row>
    <row r="32" spans="1:2" x14ac:dyDescent="0.3">
      <c r="A32" s="3" t="s">
        <v>118</v>
      </c>
      <c r="B32" s="11">
        <v>19480</v>
      </c>
    </row>
    <row r="33" spans="1:2" x14ac:dyDescent="0.3">
      <c r="A33" s="3" t="s">
        <v>655</v>
      </c>
      <c r="B33" s="11">
        <v>4555</v>
      </c>
    </row>
    <row r="34" spans="1:2" x14ac:dyDescent="0.3">
      <c r="A34" s="3" t="s">
        <v>943</v>
      </c>
      <c r="B34" s="11">
        <v>2400</v>
      </c>
    </row>
    <row r="35" spans="1:2" x14ac:dyDescent="0.3">
      <c r="A35" s="3" t="s">
        <v>343</v>
      </c>
      <c r="B35" s="11">
        <v>20400</v>
      </c>
    </row>
    <row r="36" spans="1:2" x14ac:dyDescent="0.3">
      <c r="A36" s="3" t="s">
        <v>599</v>
      </c>
      <c r="B36" s="11">
        <v>261250</v>
      </c>
    </row>
    <row r="37" spans="1:2" x14ac:dyDescent="0.3">
      <c r="A37" s="3" t="s">
        <v>745</v>
      </c>
      <c r="B37" s="11">
        <v>720</v>
      </c>
    </row>
    <row r="38" spans="1:2" x14ac:dyDescent="0.3">
      <c r="A38" s="3" t="s">
        <v>347</v>
      </c>
      <c r="B38" s="11">
        <v>19200</v>
      </c>
    </row>
    <row r="39" spans="1:2" x14ac:dyDescent="0.3">
      <c r="A39" s="3" t="s">
        <v>270</v>
      </c>
      <c r="B39" s="11">
        <v>10645</v>
      </c>
    </row>
    <row r="40" spans="1:2" x14ac:dyDescent="0.3">
      <c r="A40" s="3" t="s">
        <v>505</v>
      </c>
      <c r="B40" s="11">
        <v>2700</v>
      </c>
    </row>
    <row r="41" spans="1:2" x14ac:dyDescent="0.3">
      <c r="A41" s="3" t="s">
        <v>460</v>
      </c>
      <c r="B41" s="11">
        <v>58800</v>
      </c>
    </row>
    <row r="42" spans="1:2" x14ac:dyDescent="0.3">
      <c r="A42" s="3" t="s">
        <v>421</v>
      </c>
      <c r="B42" s="11">
        <v>12350</v>
      </c>
    </row>
    <row r="43" spans="1:2" x14ac:dyDescent="0.3">
      <c r="A43" s="3" t="s">
        <v>461</v>
      </c>
      <c r="B43" s="11">
        <v>7650</v>
      </c>
    </row>
    <row r="44" spans="1:2" x14ac:dyDescent="0.3">
      <c r="A44" s="3" t="s">
        <v>126</v>
      </c>
      <c r="B44" s="11">
        <v>11700</v>
      </c>
    </row>
    <row r="45" spans="1:2" x14ac:dyDescent="0.3">
      <c r="A45" s="3" t="s">
        <v>285</v>
      </c>
      <c r="B45" s="11">
        <v>54000</v>
      </c>
    </row>
    <row r="46" spans="1:2" x14ac:dyDescent="0.3">
      <c r="A46" s="3" t="s">
        <v>272</v>
      </c>
      <c r="B46" s="11">
        <v>1870</v>
      </c>
    </row>
    <row r="47" spans="1:2" x14ac:dyDescent="0.3">
      <c r="A47" s="3" t="s">
        <v>46</v>
      </c>
      <c r="B47" s="11">
        <v>11350</v>
      </c>
    </row>
    <row r="48" spans="1:2" x14ac:dyDescent="0.3">
      <c r="A48" s="3" t="s">
        <v>135</v>
      </c>
      <c r="B48" s="11">
        <v>24225</v>
      </c>
    </row>
    <row r="49" spans="1:2" x14ac:dyDescent="0.3">
      <c r="A49" s="3" t="s">
        <v>466</v>
      </c>
      <c r="B49" s="11">
        <v>177150</v>
      </c>
    </row>
    <row r="50" spans="1:2" x14ac:dyDescent="0.3">
      <c r="A50" s="3" t="s">
        <v>467</v>
      </c>
      <c r="B50" s="11">
        <v>22950</v>
      </c>
    </row>
    <row r="51" spans="1:2" x14ac:dyDescent="0.3">
      <c r="A51" s="3" t="s">
        <v>782</v>
      </c>
      <c r="B51" s="11">
        <v>55000</v>
      </c>
    </row>
    <row r="52" spans="1:2" x14ac:dyDescent="0.3">
      <c r="A52" s="3" t="s">
        <v>211</v>
      </c>
      <c r="B52" s="11">
        <v>24997.5</v>
      </c>
    </row>
    <row r="53" spans="1:2" x14ac:dyDescent="0.3">
      <c r="A53" s="3" t="s">
        <v>411</v>
      </c>
      <c r="B53" s="11">
        <v>6750</v>
      </c>
    </row>
    <row r="54" spans="1:2" x14ac:dyDescent="0.3">
      <c r="A54" s="3" t="s">
        <v>783</v>
      </c>
      <c r="B54" s="11">
        <v>6480</v>
      </c>
    </row>
    <row r="55" spans="1:2" x14ac:dyDescent="0.3">
      <c r="A55" s="3" t="s">
        <v>394</v>
      </c>
      <c r="B55" s="11">
        <v>1350</v>
      </c>
    </row>
    <row r="56" spans="1:2" x14ac:dyDescent="0.3">
      <c r="A56" s="3" t="s">
        <v>206</v>
      </c>
      <c r="B56" s="11">
        <v>3240</v>
      </c>
    </row>
    <row r="57" spans="1:2" x14ac:dyDescent="0.3">
      <c r="A57" s="3" t="s">
        <v>855</v>
      </c>
      <c r="B57" s="11">
        <v>2227.5</v>
      </c>
    </row>
    <row r="58" spans="1:2" x14ac:dyDescent="0.3">
      <c r="A58" s="3" t="s">
        <v>203</v>
      </c>
      <c r="B58" s="11">
        <v>29600</v>
      </c>
    </row>
    <row r="59" spans="1:2" x14ac:dyDescent="0.3">
      <c r="A59" s="3" t="s">
        <v>247</v>
      </c>
      <c r="B59" s="11">
        <v>3520</v>
      </c>
    </row>
    <row r="60" spans="1:2" x14ac:dyDescent="0.3">
      <c r="A60" s="3" t="s">
        <v>168</v>
      </c>
      <c r="B60" s="11">
        <v>3960</v>
      </c>
    </row>
    <row r="61" spans="1:2" x14ac:dyDescent="0.3">
      <c r="A61" s="3" t="s">
        <v>340</v>
      </c>
      <c r="B61" s="11">
        <v>7305</v>
      </c>
    </row>
    <row r="62" spans="1:2" x14ac:dyDescent="0.3">
      <c r="A62" s="3" t="s">
        <v>27</v>
      </c>
      <c r="B62" s="11">
        <v>4050</v>
      </c>
    </row>
    <row r="63" spans="1:2" x14ac:dyDescent="0.3">
      <c r="A63" s="3" t="s">
        <v>1013</v>
      </c>
      <c r="B63" s="11">
        <v>30430</v>
      </c>
    </row>
    <row r="64" spans="1:2" x14ac:dyDescent="0.3">
      <c r="A64" s="3" t="s">
        <v>299</v>
      </c>
      <c r="B64" s="11">
        <v>5450</v>
      </c>
    </row>
    <row r="65" spans="1:2" x14ac:dyDescent="0.3">
      <c r="A65" s="3" t="s">
        <v>479</v>
      </c>
      <c r="B65" s="11">
        <v>3240</v>
      </c>
    </row>
    <row r="66" spans="1:2" x14ac:dyDescent="0.3">
      <c r="A66" s="3" t="s">
        <v>300</v>
      </c>
      <c r="B66" s="11">
        <v>2160</v>
      </c>
    </row>
    <row r="67" spans="1:2" x14ac:dyDescent="0.3">
      <c r="A67" s="3" t="s">
        <v>681</v>
      </c>
      <c r="B67" s="11">
        <v>61590</v>
      </c>
    </row>
    <row r="68" spans="1:2" x14ac:dyDescent="0.3">
      <c r="A68" s="3" t="s">
        <v>664</v>
      </c>
      <c r="B68" s="11">
        <v>1662.5</v>
      </c>
    </row>
    <row r="69" spans="1:2" x14ac:dyDescent="0.3">
      <c r="A69" s="3" t="s">
        <v>706</v>
      </c>
      <c r="B69" s="11">
        <v>28120</v>
      </c>
    </row>
    <row r="70" spans="1:2" x14ac:dyDescent="0.3">
      <c r="A70" s="3" t="s">
        <v>707</v>
      </c>
      <c r="B70" s="11">
        <v>281270</v>
      </c>
    </row>
    <row r="71" spans="1:2" x14ac:dyDescent="0.3">
      <c r="A71" s="3" t="s">
        <v>769</v>
      </c>
      <c r="B71" s="11">
        <v>3600</v>
      </c>
    </row>
    <row r="72" spans="1:2" x14ac:dyDescent="0.3">
      <c r="A72" s="3" t="s">
        <v>197</v>
      </c>
      <c r="B72" s="11">
        <v>239150</v>
      </c>
    </row>
    <row r="73" spans="1:2" x14ac:dyDescent="0.3">
      <c r="A73" s="3" t="s">
        <v>562</v>
      </c>
      <c r="B73" s="11">
        <v>295775</v>
      </c>
    </row>
    <row r="74" spans="1:2" x14ac:dyDescent="0.3">
      <c r="A74" s="3" t="s">
        <v>198</v>
      </c>
      <c r="B74" s="11">
        <v>9900</v>
      </c>
    </row>
    <row r="75" spans="1:2" x14ac:dyDescent="0.3">
      <c r="A75" s="3" t="s">
        <v>687</v>
      </c>
      <c r="B75" s="11">
        <v>4662.5</v>
      </c>
    </row>
    <row r="76" spans="1:2" x14ac:dyDescent="0.3">
      <c r="A76" s="3" t="s">
        <v>192</v>
      </c>
      <c r="B76" s="11">
        <v>2775</v>
      </c>
    </row>
    <row r="77" spans="1:2" x14ac:dyDescent="0.3">
      <c r="A77" s="3" t="s">
        <v>375</v>
      </c>
      <c r="B77" s="11">
        <v>1330</v>
      </c>
    </row>
    <row r="78" spans="1:2" x14ac:dyDescent="0.3">
      <c r="A78" s="3" t="s">
        <v>138</v>
      </c>
      <c r="B78" s="11">
        <v>1400</v>
      </c>
    </row>
    <row r="79" spans="1:2" x14ac:dyDescent="0.3">
      <c r="A79" s="3" t="s">
        <v>139</v>
      </c>
      <c r="B79" s="11">
        <v>22100</v>
      </c>
    </row>
    <row r="80" spans="1:2" x14ac:dyDescent="0.3">
      <c r="A80" s="3" t="s">
        <v>835</v>
      </c>
      <c r="B80" s="11">
        <v>176000</v>
      </c>
    </row>
    <row r="81" spans="1:2" x14ac:dyDescent="0.3">
      <c r="A81" s="3" t="s">
        <v>228</v>
      </c>
      <c r="B81" s="11">
        <v>427.5</v>
      </c>
    </row>
    <row r="82" spans="1:2" x14ac:dyDescent="0.3">
      <c r="A82" s="3" t="s">
        <v>229</v>
      </c>
      <c r="B82" s="11">
        <v>38400</v>
      </c>
    </row>
    <row r="83" spans="1:2" x14ac:dyDescent="0.3">
      <c r="A83" s="3" t="s">
        <v>515</v>
      </c>
      <c r="B83" s="11">
        <v>4027.5</v>
      </c>
    </row>
    <row r="84" spans="1:2" x14ac:dyDescent="0.3">
      <c r="A84" s="3" t="s">
        <v>738</v>
      </c>
      <c r="B84" s="11">
        <v>10500</v>
      </c>
    </row>
    <row r="85" spans="1:2" x14ac:dyDescent="0.3">
      <c r="A85" s="3" t="s">
        <v>256</v>
      </c>
      <c r="B85" s="11">
        <v>29250</v>
      </c>
    </row>
    <row r="86" spans="1:2" x14ac:dyDescent="0.3">
      <c r="A86" s="3" t="s">
        <v>84</v>
      </c>
      <c r="B86" s="11">
        <v>38250</v>
      </c>
    </row>
    <row r="87" spans="1:2" x14ac:dyDescent="0.3">
      <c r="A87" s="3" t="s">
        <v>500</v>
      </c>
      <c r="B87" s="11">
        <v>6210</v>
      </c>
    </row>
    <row r="88" spans="1:2" x14ac:dyDescent="0.3">
      <c r="A88" s="3" t="s">
        <v>164</v>
      </c>
      <c r="B88" s="11">
        <v>8500</v>
      </c>
    </row>
    <row r="89" spans="1:2" x14ac:dyDescent="0.3">
      <c r="A89" s="3" t="s">
        <v>153</v>
      </c>
      <c r="B89" s="11">
        <v>5760</v>
      </c>
    </row>
    <row r="90" spans="1:2" x14ac:dyDescent="0.3">
      <c r="A90" s="3" t="s">
        <v>165</v>
      </c>
      <c r="B90" s="11">
        <v>247500</v>
      </c>
    </row>
    <row r="91" spans="1:2" x14ac:dyDescent="0.3">
      <c r="A91" s="3" t="s">
        <v>639</v>
      </c>
      <c r="B91" s="11">
        <v>7500</v>
      </c>
    </row>
    <row r="92" spans="1:2" x14ac:dyDescent="0.3">
      <c r="A92" s="3" t="s">
        <v>154</v>
      </c>
      <c r="B92" s="11">
        <v>5360</v>
      </c>
    </row>
    <row r="93" spans="1:2" x14ac:dyDescent="0.3">
      <c r="A93" s="3" t="s">
        <v>217</v>
      </c>
      <c r="B93" s="11">
        <v>45000</v>
      </c>
    </row>
    <row r="94" spans="1:2" x14ac:dyDescent="0.3">
      <c r="A94" s="3" t="s">
        <v>208</v>
      </c>
      <c r="B94" s="11">
        <v>5510</v>
      </c>
    </row>
    <row r="95" spans="1:2" x14ac:dyDescent="0.3">
      <c r="A95" s="3" t="s">
        <v>427</v>
      </c>
      <c r="B95" s="11">
        <v>12350</v>
      </c>
    </row>
    <row r="96" spans="1:2" x14ac:dyDescent="0.3">
      <c r="A96" s="3" t="s">
        <v>813</v>
      </c>
      <c r="B96" s="11">
        <v>1440</v>
      </c>
    </row>
    <row r="97" spans="1:2" x14ac:dyDescent="0.3">
      <c r="A97" s="3" t="s">
        <v>546</v>
      </c>
      <c r="B97" s="11">
        <v>3740</v>
      </c>
    </row>
    <row r="98" spans="1:2" x14ac:dyDescent="0.3">
      <c r="A98" s="3" t="s">
        <v>311</v>
      </c>
      <c r="B98" s="11">
        <v>7125</v>
      </c>
    </row>
    <row r="99" spans="1:2" x14ac:dyDescent="0.3">
      <c r="A99" s="3" t="s">
        <v>312</v>
      </c>
      <c r="B99" s="11">
        <v>855</v>
      </c>
    </row>
    <row r="100" spans="1:2" x14ac:dyDescent="0.3">
      <c r="A100" s="3" t="s">
        <v>674</v>
      </c>
      <c r="B100" s="11">
        <v>24000</v>
      </c>
    </row>
    <row r="101" spans="1:2" x14ac:dyDescent="0.3">
      <c r="A101" s="3" t="s">
        <v>488</v>
      </c>
      <c r="B101" s="11">
        <v>20400</v>
      </c>
    </row>
    <row r="102" spans="1:2" x14ac:dyDescent="0.3">
      <c r="A102" s="3" t="s">
        <v>627</v>
      </c>
      <c r="B102" s="11">
        <v>9360</v>
      </c>
    </row>
    <row r="103" spans="1:2" x14ac:dyDescent="0.3">
      <c r="A103" s="3" t="s">
        <v>454</v>
      </c>
      <c r="B103" s="11">
        <v>36125</v>
      </c>
    </row>
    <row r="104" spans="1:2" x14ac:dyDescent="0.3">
      <c r="A104" s="3" t="s">
        <v>1426</v>
      </c>
      <c r="B104" s="11">
        <v>22100</v>
      </c>
    </row>
    <row r="105" spans="1:2" x14ac:dyDescent="0.3">
      <c r="A105" s="3" t="s">
        <v>881</v>
      </c>
      <c r="B105" s="11">
        <v>17550</v>
      </c>
    </row>
    <row r="106" spans="1:2" x14ac:dyDescent="0.3">
      <c r="A106" s="3" t="s">
        <v>710</v>
      </c>
      <c r="B106" s="11">
        <v>5525</v>
      </c>
    </row>
    <row r="107" spans="1:2" x14ac:dyDescent="0.3">
      <c r="A107" s="3" t="s">
        <v>398</v>
      </c>
      <c r="B107" s="11">
        <v>1620</v>
      </c>
    </row>
    <row r="108" spans="1:2" x14ac:dyDescent="0.3">
      <c r="A108" s="3" t="s">
        <v>141</v>
      </c>
      <c r="B108" s="11">
        <v>32500</v>
      </c>
    </row>
    <row r="109" spans="1:2" x14ac:dyDescent="0.3">
      <c r="A109" s="3" t="s">
        <v>142</v>
      </c>
      <c r="B109" s="11">
        <v>855</v>
      </c>
    </row>
    <row r="110" spans="1:2" x14ac:dyDescent="0.3">
      <c r="A110" s="3" t="s">
        <v>526</v>
      </c>
      <c r="B110" s="11">
        <v>6840</v>
      </c>
    </row>
    <row r="111" spans="1:2" x14ac:dyDescent="0.3">
      <c r="A111" s="3" t="s">
        <v>186</v>
      </c>
      <c r="B111" s="11">
        <v>15300</v>
      </c>
    </row>
    <row r="112" spans="1:2" x14ac:dyDescent="0.3">
      <c r="A112" s="3" t="s">
        <v>75</v>
      </c>
      <c r="B112" s="11">
        <v>1050</v>
      </c>
    </row>
    <row r="113" spans="1:2" x14ac:dyDescent="0.3">
      <c r="A113" s="3" t="s">
        <v>187</v>
      </c>
      <c r="B113" s="11">
        <v>2760</v>
      </c>
    </row>
    <row r="114" spans="1:2" x14ac:dyDescent="0.3">
      <c r="A114" s="3" t="s">
        <v>605</v>
      </c>
      <c r="B114" s="11">
        <v>27625</v>
      </c>
    </row>
    <row r="115" spans="1:2" x14ac:dyDescent="0.3">
      <c r="A115" s="3" t="s">
        <v>352</v>
      </c>
      <c r="B115" s="11">
        <v>21675</v>
      </c>
    </row>
    <row r="116" spans="1:2" x14ac:dyDescent="0.3">
      <c r="A116" s="3" t="s">
        <v>316</v>
      </c>
      <c r="B116" s="11">
        <v>35500</v>
      </c>
    </row>
    <row r="117" spans="1:2" x14ac:dyDescent="0.3">
      <c r="A117" s="3" t="s">
        <v>662</v>
      </c>
      <c r="B117" s="11">
        <v>30600</v>
      </c>
    </row>
    <row r="118" spans="1:2" x14ac:dyDescent="0.3">
      <c r="A118" s="3" t="s">
        <v>53</v>
      </c>
      <c r="B118" s="11">
        <v>20800</v>
      </c>
    </row>
    <row r="119" spans="1:2" x14ac:dyDescent="0.3">
      <c r="A119" s="3" t="s">
        <v>54</v>
      </c>
      <c r="B119" s="11">
        <v>5760</v>
      </c>
    </row>
    <row r="120" spans="1:2" x14ac:dyDescent="0.3">
      <c r="A120" s="3" t="s">
        <v>450</v>
      </c>
      <c r="B120" s="11">
        <v>10700</v>
      </c>
    </row>
    <row r="121" spans="1:2" x14ac:dyDescent="0.3">
      <c r="A121" s="3" t="s">
        <v>447</v>
      </c>
      <c r="B121" s="11">
        <v>31200</v>
      </c>
    </row>
    <row r="122" spans="1:2" x14ac:dyDescent="0.3">
      <c r="A122" s="3" t="s">
        <v>409</v>
      </c>
      <c r="B122" s="11">
        <v>8360</v>
      </c>
    </row>
    <row r="123" spans="1:2" x14ac:dyDescent="0.3">
      <c r="A123" s="3" t="s">
        <v>183</v>
      </c>
      <c r="B123" s="11">
        <v>5027.5</v>
      </c>
    </row>
    <row r="124" spans="1:2" x14ac:dyDescent="0.3">
      <c r="A124" s="3" t="s">
        <v>424</v>
      </c>
      <c r="B124" s="11">
        <v>1487.5</v>
      </c>
    </row>
    <row r="125" spans="1:2" x14ac:dyDescent="0.3">
      <c r="A125" s="3" t="s">
        <v>521</v>
      </c>
      <c r="B125" s="11">
        <v>1400</v>
      </c>
    </row>
    <row r="126" spans="1:2" x14ac:dyDescent="0.3">
      <c r="A126" s="3" t="s">
        <v>418</v>
      </c>
      <c r="B126" s="11">
        <v>19700</v>
      </c>
    </row>
    <row r="127" spans="1:2" x14ac:dyDescent="0.3">
      <c r="A127" s="3" t="s">
        <v>87</v>
      </c>
      <c r="B127" s="11">
        <v>3015</v>
      </c>
    </row>
    <row r="128" spans="1:2" x14ac:dyDescent="0.3">
      <c r="A128" s="3" t="s">
        <v>88</v>
      </c>
      <c r="B128" s="11">
        <v>19200</v>
      </c>
    </row>
    <row r="129" spans="1:2" x14ac:dyDescent="0.3">
      <c r="A129" s="3" t="s">
        <v>793</v>
      </c>
      <c r="B129" s="11">
        <v>1282.5</v>
      </c>
    </row>
    <row r="130" spans="1:2" x14ac:dyDescent="0.3">
      <c r="A130" s="3" t="s">
        <v>761</v>
      </c>
      <c r="B130" s="11">
        <v>192750</v>
      </c>
    </row>
    <row r="131" spans="1:2" x14ac:dyDescent="0.3">
      <c r="A131" s="3" t="s">
        <v>962</v>
      </c>
      <c r="B131" s="11">
        <v>11610</v>
      </c>
    </row>
    <row r="132" spans="1:2" x14ac:dyDescent="0.3">
      <c r="A132" s="3" t="s">
        <v>176</v>
      </c>
      <c r="B132" s="11">
        <v>34000</v>
      </c>
    </row>
    <row r="133" spans="1:2" x14ac:dyDescent="0.3">
      <c r="A133" s="3" t="s">
        <v>234</v>
      </c>
      <c r="B133" s="11">
        <v>13600</v>
      </c>
    </row>
    <row r="134" spans="1:2" x14ac:dyDescent="0.3">
      <c r="A134" s="3" t="s">
        <v>452</v>
      </c>
      <c r="B134" s="11">
        <v>765</v>
      </c>
    </row>
    <row r="135" spans="1:2" x14ac:dyDescent="0.3">
      <c r="A135" s="3" t="s">
        <v>177</v>
      </c>
      <c r="B135" s="11">
        <v>42395</v>
      </c>
    </row>
    <row r="136" spans="1:2" x14ac:dyDescent="0.3">
      <c r="A136" s="3" t="s">
        <v>258</v>
      </c>
      <c r="B136" s="11">
        <v>11400</v>
      </c>
    </row>
    <row r="137" spans="1:2" x14ac:dyDescent="0.3">
      <c r="A137" s="3" t="s">
        <v>322</v>
      </c>
      <c r="B137" s="11">
        <v>24440</v>
      </c>
    </row>
    <row r="138" spans="1:2" x14ac:dyDescent="0.3">
      <c r="A138" s="3" t="s">
        <v>239</v>
      </c>
      <c r="B138" s="11">
        <v>117920</v>
      </c>
    </row>
    <row r="139" spans="1:2" x14ac:dyDescent="0.3">
      <c r="A139" s="3" t="s">
        <v>753</v>
      </c>
      <c r="B139" s="11">
        <v>7200</v>
      </c>
    </row>
    <row r="140" spans="1:2" x14ac:dyDescent="0.3">
      <c r="A140" s="3" t="s">
        <v>364</v>
      </c>
      <c r="B140" s="11">
        <v>13140</v>
      </c>
    </row>
    <row r="141" spans="1:2" x14ac:dyDescent="0.3">
      <c r="A141" s="3" t="s">
        <v>71</v>
      </c>
      <c r="B141" s="11">
        <v>20400</v>
      </c>
    </row>
    <row r="142" spans="1:2" x14ac:dyDescent="0.3">
      <c r="A142" s="3" t="s">
        <v>365</v>
      </c>
      <c r="B142" s="11">
        <v>1912.5</v>
      </c>
    </row>
    <row r="143" spans="1:2" x14ac:dyDescent="0.3">
      <c r="A143" s="3" t="s">
        <v>305</v>
      </c>
      <c r="B143" s="11">
        <v>787.5</v>
      </c>
    </row>
    <row r="144" spans="1:2" x14ac:dyDescent="0.3">
      <c r="A144" s="3" t="s">
        <v>72</v>
      </c>
      <c r="B144" s="11">
        <v>42500</v>
      </c>
    </row>
    <row r="145" spans="1:2" x14ac:dyDescent="0.3">
      <c r="A145" s="3" t="s">
        <v>720</v>
      </c>
      <c r="B145" s="11">
        <v>36125</v>
      </c>
    </row>
    <row r="146" spans="1:2" x14ac:dyDescent="0.3">
      <c r="A146" s="3" t="s">
        <v>511</v>
      </c>
      <c r="B146" s="11">
        <v>1440</v>
      </c>
    </row>
    <row r="147" spans="1:2" x14ac:dyDescent="0.3">
      <c r="A147" s="3" t="s">
        <v>653</v>
      </c>
      <c r="B147" s="11">
        <v>13000</v>
      </c>
    </row>
    <row r="148" spans="1:2" x14ac:dyDescent="0.3">
      <c r="A148" s="3" t="s">
        <v>78</v>
      </c>
      <c r="B148" s="11">
        <v>3825</v>
      </c>
    </row>
    <row r="149" spans="1:2" x14ac:dyDescent="0.3">
      <c r="A149" s="3" t="s">
        <v>476</v>
      </c>
      <c r="B149" s="11">
        <v>3740</v>
      </c>
    </row>
    <row r="150" spans="1:2" x14ac:dyDescent="0.3">
      <c r="A150" s="3" t="s">
        <v>776</v>
      </c>
      <c r="B150" s="11">
        <v>700</v>
      </c>
    </row>
    <row r="151" spans="1:2" x14ac:dyDescent="0.3">
      <c r="A151" s="3" t="s">
        <v>16</v>
      </c>
      <c r="B151" s="11">
        <v>3420</v>
      </c>
    </row>
    <row r="152" spans="1:2" x14ac:dyDescent="0.3">
      <c r="A152" s="3" t="s">
        <v>303</v>
      </c>
      <c r="B152" s="11">
        <v>1147.5</v>
      </c>
    </row>
    <row r="153" spans="1:2" x14ac:dyDescent="0.3">
      <c r="A153" s="3" t="s">
        <v>821</v>
      </c>
      <c r="B153" s="11">
        <v>280</v>
      </c>
    </row>
    <row r="154" spans="1:2" x14ac:dyDescent="0.3">
      <c r="A154" s="3" t="s">
        <v>181</v>
      </c>
      <c r="B154" s="11">
        <v>3240</v>
      </c>
    </row>
    <row r="155" spans="1:2" x14ac:dyDescent="0.3">
      <c r="A155" s="3" t="s">
        <v>435</v>
      </c>
      <c r="B155" s="11">
        <v>360</v>
      </c>
    </row>
    <row r="156" spans="1:2" x14ac:dyDescent="0.3">
      <c r="A156" s="3" t="s">
        <v>220</v>
      </c>
      <c r="B156" s="11">
        <v>1620</v>
      </c>
    </row>
    <row r="157" spans="1:2" x14ac:dyDescent="0.3">
      <c r="A157" s="3" t="s">
        <v>17</v>
      </c>
      <c r="B157" s="11">
        <v>22660</v>
      </c>
    </row>
    <row r="158" spans="1:2" x14ac:dyDescent="0.3">
      <c r="A158" s="3" t="s">
        <v>631</v>
      </c>
      <c r="B158" s="11">
        <v>1080</v>
      </c>
    </row>
    <row r="159" spans="1:2" x14ac:dyDescent="0.3">
      <c r="A159" s="3" t="s">
        <v>385</v>
      </c>
      <c r="B159" s="11">
        <v>94987.5</v>
      </c>
    </row>
    <row r="160" spans="1:2" x14ac:dyDescent="0.3">
      <c r="A160" s="3" t="s">
        <v>267</v>
      </c>
      <c r="B160" s="11">
        <v>17220</v>
      </c>
    </row>
    <row r="161" spans="1:2" x14ac:dyDescent="0.3">
      <c r="A161" s="3" t="s">
        <v>440</v>
      </c>
      <c r="B161" s="11">
        <v>132000</v>
      </c>
    </row>
    <row r="162" spans="1:2" x14ac:dyDescent="0.3">
      <c r="A162" s="3" t="s">
        <v>200</v>
      </c>
      <c r="B162" s="11">
        <v>1760</v>
      </c>
    </row>
    <row r="163" spans="1:2" x14ac:dyDescent="0.3">
      <c r="A163" s="3" t="s">
        <v>173</v>
      </c>
      <c r="B163" s="11">
        <v>560</v>
      </c>
    </row>
    <row r="164" spans="1:2" x14ac:dyDescent="0.3">
      <c r="A164" s="3" t="s">
        <v>291</v>
      </c>
      <c r="B164" s="11">
        <v>9900</v>
      </c>
    </row>
    <row r="165" spans="1:2" x14ac:dyDescent="0.3">
      <c r="A165" s="3" t="s">
        <v>201</v>
      </c>
      <c r="B165" s="11">
        <v>247500</v>
      </c>
    </row>
    <row r="166" spans="1:2" x14ac:dyDescent="0.3">
      <c r="A166" s="3" t="s">
        <v>174</v>
      </c>
      <c r="B166" s="11">
        <v>28800</v>
      </c>
    </row>
    <row r="167" spans="1:2" x14ac:dyDescent="0.3">
      <c r="A167" s="3" t="s">
        <v>96</v>
      </c>
      <c r="B167" s="11">
        <v>29250</v>
      </c>
    </row>
    <row r="168" spans="1:2" x14ac:dyDescent="0.3">
      <c r="A168" s="3" t="s">
        <v>589</v>
      </c>
      <c r="B168" s="11">
        <v>17550</v>
      </c>
    </row>
    <row r="169" spans="1:2" x14ac:dyDescent="0.3">
      <c r="A169" s="3" t="s">
        <v>491</v>
      </c>
      <c r="B169" s="11">
        <v>3240</v>
      </c>
    </row>
    <row r="170" spans="1:2" x14ac:dyDescent="0.3">
      <c r="A170" s="3" t="s">
        <v>64</v>
      </c>
      <c r="B170" s="11">
        <v>33000</v>
      </c>
    </row>
    <row r="171" spans="1:2" x14ac:dyDescent="0.3">
      <c r="A171" s="3" t="s">
        <v>97</v>
      </c>
      <c r="B171" s="11">
        <v>1400</v>
      </c>
    </row>
    <row r="172" spans="1:2" x14ac:dyDescent="0.3">
      <c r="A172" s="3" t="s">
        <v>580</v>
      </c>
      <c r="B172" s="11">
        <v>46750</v>
      </c>
    </row>
    <row r="173" spans="1:2" x14ac:dyDescent="0.3">
      <c r="A173" s="3" t="s">
        <v>104</v>
      </c>
      <c r="B173" s="11">
        <v>9330</v>
      </c>
    </row>
    <row r="174" spans="1:2" x14ac:dyDescent="0.3">
      <c r="A174" s="3" t="s">
        <v>249</v>
      </c>
      <c r="B174" s="11">
        <v>5525</v>
      </c>
    </row>
    <row r="175" spans="1:2" x14ac:dyDescent="0.3">
      <c r="A175" s="3" t="s">
        <v>503</v>
      </c>
      <c r="B175" s="11">
        <v>11050</v>
      </c>
    </row>
    <row r="176" spans="1:2" x14ac:dyDescent="0.3">
      <c r="A176" s="3" t="s">
        <v>413</v>
      </c>
      <c r="B176" s="11">
        <v>2200</v>
      </c>
    </row>
    <row r="177" spans="1:2" x14ac:dyDescent="0.3">
      <c r="A177" s="3" t="s">
        <v>381</v>
      </c>
      <c r="B177" s="11">
        <v>44010</v>
      </c>
    </row>
    <row r="178" spans="1:2" x14ac:dyDescent="0.3">
      <c r="A178" s="3" t="s">
        <v>831</v>
      </c>
      <c r="B178" s="11">
        <v>27200</v>
      </c>
    </row>
    <row r="179" spans="1:2" x14ac:dyDescent="0.3">
      <c r="A179" s="2" t="s">
        <v>1448</v>
      </c>
      <c r="B179" s="11">
        <v>5562000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F95F-E753-4789-B8DC-2AA3C777910B}">
  <dimension ref="A3:B9"/>
  <sheetViews>
    <sheetView workbookViewId="0">
      <selection activeCell="P6" sqref="P6"/>
    </sheetView>
  </sheetViews>
  <sheetFormatPr defaultRowHeight="14.4" x14ac:dyDescent="0.3"/>
  <cols>
    <col min="1" max="1" width="13.109375" bestFit="1" customWidth="1"/>
    <col min="2" max="2" width="12.109375" bestFit="1" customWidth="1"/>
  </cols>
  <sheetData>
    <row r="3" spans="1:2" x14ac:dyDescent="0.3">
      <c r="A3" s="1" t="s">
        <v>1447</v>
      </c>
      <c r="B3" t="s">
        <v>1451</v>
      </c>
    </row>
    <row r="4" spans="1:2" x14ac:dyDescent="0.3">
      <c r="A4" s="2" t="s">
        <v>114</v>
      </c>
      <c r="B4" s="11">
        <v>15392.200000000003</v>
      </c>
    </row>
    <row r="5" spans="1:2" x14ac:dyDescent="0.3">
      <c r="A5" s="2" t="s">
        <v>20</v>
      </c>
      <c r="B5" s="11">
        <v>650767.20000000007</v>
      </c>
    </row>
    <row r="6" spans="1:2" x14ac:dyDescent="0.3">
      <c r="A6" s="2" t="s">
        <v>31</v>
      </c>
      <c r="B6" s="11">
        <v>163769.93</v>
      </c>
    </row>
    <row r="7" spans="1:2" x14ac:dyDescent="0.3">
      <c r="A7" s="2" t="s">
        <v>131</v>
      </c>
      <c r="B7" s="11">
        <v>4564.58</v>
      </c>
    </row>
    <row r="8" spans="1:2" x14ac:dyDescent="0.3">
      <c r="A8" s="2" t="s">
        <v>57</v>
      </c>
      <c r="B8" s="11">
        <v>3918.65</v>
      </c>
    </row>
    <row r="9" spans="1:2" x14ac:dyDescent="0.3">
      <c r="A9" s="2" t="s">
        <v>1448</v>
      </c>
      <c r="B9" s="11">
        <v>838412.56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D4DC0-AD07-47A9-B5E0-E224E14645EC}">
  <dimension ref="A3:B14"/>
  <sheetViews>
    <sheetView workbookViewId="0">
      <selection activeCell="Q6" sqref="Q6"/>
    </sheetView>
  </sheetViews>
  <sheetFormatPr defaultRowHeight="14.4" x14ac:dyDescent="0.3"/>
  <cols>
    <col min="1" max="1" width="14" bestFit="1" customWidth="1"/>
    <col min="2" max="2" width="11.6640625" bestFit="1" customWidth="1"/>
  </cols>
  <sheetData>
    <row r="3" spans="1:2" x14ac:dyDescent="0.3">
      <c r="A3" s="1" t="s">
        <v>1447</v>
      </c>
      <c r="B3" t="s">
        <v>1449</v>
      </c>
    </row>
    <row r="4" spans="1:2" x14ac:dyDescent="0.3">
      <c r="A4" s="2" t="s">
        <v>19</v>
      </c>
      <c r="B4" s="11">
        <v>3294500</v>
      </c>
    </row>
    <row r="5" spans="1:2" x14ac:dyDescent="0.3">
      <c r="A5" s="2" t="s">
        <v>119</v>
      </c>
      <c r="B5" s="11">
        <v>701250</v>
      </c>
    </row>
    <row r="6" spans="1:2" x14ac:dyDescent="0.3">
      <c r="A6" s="2" t="s">
        <v>66</v>
      </c>
      <c r="B6" s="11">
        <v>642000</v>
      </c>
    </row>
    <row r="7" spans="1:2" x14ac:dyDescent="0.3">
      <c r="A7" s="2" t="s">
        <v>30</v>
      </c>
      <c r="B7" s="11">
        <v>436800</v>
      </c>
    </row>
    <row r="8" spans="1:2" x14ac:dyDescent="0.3">
      <c r="A8" s="2" t="s">
        <v>106</v>
      </c>
      <c r="B8" s="11">
        <v>193710</v>
      </c>
    </row>
    <row r="9" spans="1:2" x14ac:dyDescent="0.3">
      <c r="A9" s="2" t="s">
        <v>113</v>
      </c>
      <c r="B9" s="11">
        <v>99720</v>
      </c>
    </row>
    <row r="10" spans="1:2" x14ac:dyDescent="0.3">
      <c r="A10" s="2" t="s">
        <v>89</v>
      </c>
      <c r="B10" s="11">
        <v>73080</v>
      </c>
    </row>
    <row r="11" spans="1:2" x14ac:dyDescent="0.3">
      <c r="A11" s="2" t="s">
        <v>48</v>
      </c>
      <c r="B11" s="11">
        <v>65400</v>
      </c>
    </row>
    <row r="12" spans="1:2" x14ac:dyDescent="0.3">
      <c r="A12" s="2" t="s">
        <v>130</v>
      </c>
      <c r="B12" s="11">
        <v>28957.5</v>
      </c>
    </row>
    <row r="13" spans="1:2" x14ac:dyDescent="0.3">
      <c r="A13" s="2" t="s">
        <v>56</v>
      </c>
      <c r="B13" s="11">
        <v>26582.5</v>
      </c>
    </row>
    <row r="14" spans="1:2" x14ac:dyDescent="0.3">
      <c r="A14" s="2" t="s">
        <v>1448</v>
      </c>
      <c r="B14" s="11">
        <v>5562000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977B-35B9-47AD-9672-EF0CEF35174E}">
  <dimension ref="A3:B5"/>
  <sheetViews>
    <sheetView workbookViewId="0">
      <selection activeCell="C11" sqref="C11"/>
    </sheetView>
  </sheetViews>
  <sheetFormatPr defaultRowHeight="14.4" x14ac:dyDescent="0.3"/>
  <cols>
    <col min="1" max="1" width="12.5546875" bestFit="1" customWidth="1"/>
    <col min="2" max="2" width="11.6640625" bestFit="1" customWidth="1"/>
  </cols>
  <sheetData>
    <row r="3" spans="1:2" x14ac:dyDescent="0.3">
      <c r="A3" s="1" t="s">
        <v>1447</v>
      </c>
      <c r="B3" t="s">
        <v>1449</v>
      </c>
    </row>
    <row r="4" spans="1:2" x14ac:dyDescent="0.3">
      <c r="A4" s="2" t="s">
        <v>43</v>
      </c>
      <c r="B4" s="11">
        <v>906135</v>
      </c>
    </row>
    <row r="5" spans="1:2" x14ac:dyDescent="0.3">
      <c r="A5" s="2" t="s">
        <v>1448</v>
      </c>
      <c r="B5" s="11">
        <v>906135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BF00-997B-4015-8798-3A1100D0F13F}">
  <dimension ref="A1"/>
  <sheetViews>
    <sheetView workbookViewId="0">
      <selection activeCell="B11" sqref="A3:B341"/>
    </sheetView>
  </sheetViews>
  <sheetFormatPr defaultRowHeight="14.4" x14ac:dyDescent="0.3"/>
  <cols>
    <col min="1" max="1" width="12.5546875" bestFit="1" customWidth="1"/>
    <col min="2" max="2" width="21.1093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2" workbookViewId="0">
      <selection activeCell="D1" sqref="D1"/>
    </sheetView>
  </sheetViews>
  <sheetFormatPr defaultRowHeight="14.4" x14ac:dyDescent="0.3"/>
  <cols>
    <col min="1" max="1" width="9.88671875" customWidth="1"/>
    <col min="2" max="2" width="12" customWidth="1"/>
    <col min="3" max="3" width="10.88671875" customWidth="1"/>
    <col min="4" max="4" width="16.44140625" customWidth="1"/>
    <col min="5" max="5" width="15" customWidth="1"/>
    <col min="6" max="6" width="10.44140625" customWidth="1"/>
    <col min="7" max="7" width="14.33203125" customWidth="1"/>
    <col min="11" max="11" width="12" customWidth="1"/>
    <col min="12" max="12" width="10.21875" customWidth="1"/>
    <col min="14" max="14" width="10.2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23</v>
      </c>
      <c r="J2" t="s">
        <v>24</v>
      </c>
      <c r="K2" t="s">
        <v>25</v>
      </c>
      <c r="L2">
        <v>2</v>
      </c>
      <c r="M2">
        <v>110000</v>
      </c>
      <c r="N2">
        <v>0</v>
      </c>
      <c r="O2">
        <v>13758.99</v>
      </c>
    </row>
    <row r="3" spans="1:15" x14ac:dyDescent="0.3">
      <c r="A3" t="s">
        <v>26</v>
      </c>
      <c r="B3" t="s">
        <v>27</v>
      </c>
      <c r="C3" t="s">
        <v>28</v>
      </c>
      <c r="D3" t="s">
        <v>29</v>
      </c>
      <c r="E3" t="s">
        <v>30</v>
      </c>
      <c r="F3" t="s">
        <v>31</v>
      </c>
      <c r="G3" t="s">
        <v>32</v>
      </c>
      <c r="H3" t="s">
        <v>33</v>
      </c>
      <c r="I3" t="s">
        <v>34</v>
      </c>
      <c r="J3" t="s">
        <v>35</v>
      </c>
      <c r="K3" t="s">
        <v>25</v>
      </c>
      <c r="L3">
        <v>3</v>
      </c>
      <c r="M3">
        <v>19500</v>
      </c>
      <c r="N3">
        <v>0</v>
      </c>
      <c r="O3">
        <v>4209.16</v>
      </c>
    </row>
    <row r="4" spans="1:15" x14ac:dyDescent="0.3">
      <c r="A4" t="s">
        <v>36</v>
      </c>
      <c r="B4" t="s">
        <v>37</v>
      </c>
      <c r="C4" t="s">
        <v>38</v>
      </c>
      <c r="D4" t="s">
        <v>39</v>
      </c>
      <c r="E4" t="s">
        <v>19</v>
      </c>
      <c r="F4" t="s">
        <v>20</v>
      </c>
      <c r="G4" t="s">
        <v>21</v>
      </c>
      <c r="H4" t="s">
        <v>40</v>
      </c>
      <c r="I4" t="s">
        <v>41</v>
      </c>
      <c r="J4" t="s">
        <v>42</v>
      </c>
      <c r="K4" t="s">
        <v>43</v>
      </c>
      <c r="L4">
        <v>5</v>
      </c>
      <c r="M4">
        <v>220000</v>
      </c>
      <c r="N4">
        <v>20</v>
      </c>
      <c r="O4">
        <v>40318.94</v>
      </c>
    </row>
    <row r="5" spans="1:15" x14ac:dyDescent="0.3">
      <c r="A5" t="s">
        <v>44</v>
      </c>
      <c r="B5" t="s">
        <v>45</v>
      </c>
      <c r="C5" t="s">
        <v>46</v>
      </c>
      <c r="D5" t="s">
        <v>47</v>
      </c>
      <c r="E5" t="s">
        <v>48</v>
      </c>
      <c r="F5" t="s">
        <v>20</v>
      </c>
      <c r="G5" t="s">
        <v>49</v>
      </c>
      <c r="H5" t="s">
        <v>40</v>
      </c>
      <c r="I5" t="s">
        <v>50</v>
      </c>
      <c r="J5" t="s">
        <v>51</v>
      </c>
      <c r="K5" t="s">
        <v>25</v>
      </c>
      <c r="L5">
        <v>2</v>
      </c>
      <c r="M5">
        <v>2700</v>
      </c>
      <c r="N5">
        <v>10</v>
      </c>
      <c r="O5">
        <v>533.04</v>
      </c>
    </row>
    <row r="6" spans="1:15" x14ac:dyDescent="0.3">
      <c r="A6" t="s">
        <v>52</v>
      </c>
      <c r="B6" t="s">
        <v>53</v>
      </c>
      <c r="C6" t="s">
        <v>54</v>
      </c>
      <c r="D6" t="s">
        <v>55</v>
      </c>
      <c r="E6" t="s">
        <v>56</v>
      </c>
      <c r="F6" t="s">
        <v>57</v>
      </c>
      <c r="G6" t="s">
        <v>58</v>
      </c>
      <c r="H6" t="s">
        <v>59</v>
      </c>
      <c r="I6" t="s">
        <v>60</v>
      </c>
      <c r="J6" t="s">
        <v>61</v>
      </c>
      <c r="K6" t="s">
        <v>62</v>
      </c>
      <c r="L6">
        <v>4</v>
      </c>
      <c r="M6">
        <v>1260</v>
      </c>
      <c r="N6">
        <v>10</v>
      </c>
      <c r="O6">
        <v>233.91</v>
      </c>
    </row>
    <row r="7" spans="1:15" x14ac:dyDescent="0.3">
      <c r="A7" t="s">
        <v>63</v>
      </c>
      <c r="B7" t="s">
        <v>64</v>
      </c>
      <c r="C7" t="s">
        <v>65</v>
      </c>
      <c r="D7" t="s">
        <v>47</v>
      </c>
      <c r="E7" t="s">
        <v>66</v>
      </c>
      <c r="F7" t="s">
        <v>20</v>
      </c>
      <c r="G7" t="s">
        <v>67</v>
      </c>
      <c r="H7" t="s">
        <v>33</v>
      </c>
      <c r="I7" t="s">
        <v>68</v>
      </c>
      <c r="J7" t="s">
        <v>69</v>
      </c>
      <c r="K7" t="s">
        <v>43</v>
      </c>
      <c r="L7">
        <v>2</v>
      </c>
      <c r="M7">
        <v>22800</v>
      </c>
      <c r="N7">
        <v>5</v>
      </c>
      <c r="O7">
        <v>3034.81</v>
      </c>
    </row>
    <row r="8" spans="1:15" x14ac:dyDescent="0.3">
      <c r="A8" t="s">
        <v>70</v>
      </c>
      <c r="B8" t="s">
        <v>71</v>
      </c>
      <c r="C8" t="s">
        <v>72</v>
      </c>
      <c r="D8" t="s">
        <v>73</v>
      </c>
      <c r="E8" t="s">
        <v>30</v>
      </c>
      <c r="F8" t="s">
        <v>31</v>
      </c>
      <c r="G8" t="s">
        <v>32</v>
      </c>
      <c r="H8" t="s">
        <v>59</v>
      </c>
      <c r="I8" t="s">
        <v>60</v>
      </c>
      <c r="J8" t="s">
        <v>61</v>
      </c>
      <c r="K8" t="s">
        <v>62</v>
      </c>
      <c r="L8">
        <v>1</v>
      </c>
      <c r="M8">
        <v>5200</v>
      </c>
      <c r="N8">
        <v>20</v>
      </c>
      <c r="O8">
        <v>763.35</v>
      </c>
    </row>
    <row r="9" spans="1:15" x14ac:dyDescent="0.3">
      <c r="A9" t="s">
        <v>74</v>
      </c>
      <c r="B9" t="s">
        <v>75</v>
      </c>
      <c r="C9" t="s">
        <v>76</v>
      </c>
      <c r="D9" t="s">
        <v>18</v>
      </c>
      <c r="E9" t="s">
        <v>56</v>
      </c>
      <c r="F9" t="s">
        <v>57</v>
      </c>
      <c r="G9" t="s">
        <v>58</v>
      </c>
      <c r="H9" t="s">
        <v>33</v>
      </c>
      <c r="I9" t="s">
        <v>34</v>
      </c>
      <c r="J9" t="s">
        <v>35</v>
      </c>
      <c r="K9" t="s">
        <v>43</v>
      </c>
      <c r="L9">
        <v>3</v>
      </c>
      <c r="M9">
        <v>1050</v>
      </c>
      <c r="N9">
        <v>0</v>
      </c>
      <c r="O9">
        <v>99.16</v>
      </c>
    </row>
    <row r="10" spans="1:15" x14ac:dyDescent="0.3">
      <c r="A10" t="s">
        <v>77</v>
      </c>
      <c r="B10" t="s">
        <v>78</v>
      </c>
      <c r="C10" t="s">
        <v>79</v>
      </c>
      <c r="D10" t="s">
        <v>80</v>
      </c>
      <c r="E10" t="s">
        <v>19</v>
      </c>
      <c r="F10" t="s">
        <v>20</v>
      </c>
      <c r="G10" t="s">
        <v>21</v>
      </c>
      <c r="H10" t="s">
        <v>33</v>
      </c>
      <c r="I10" t="s">
        <v>34</v>
      </c>
      <c r="J10" t="s">
        <v>35</v>
      </c>
      <c r="K10" t="s">
        <v>81</v>
      </c>
      <c r="L10">
        <v>5</v>
      </c>
      <c r="M10">
        <v>233750</v>
      </c>
      <c r="N10">
        <v>15</v>
      </c>
      <c r="O10">
        <v>49722.46</v>
      </c>
    </row>
    <row r="11" spans="1:15" x14ac:dyDescent="0.3">
      <c r="A11" t="s">
        <v>82</v>
      </c>
      <c r="B11" t="s">
        <v>83</v>
      </c>
      <c r="C11" t="s">
        <v>84</v>
      </c>
      <c r="D11" t="s">
        <v>85</v>
      </c>
      <c r="E11" t="s">
        <v>19</v>
      </c>
      <c r="F11" t="s">
        <v>20</v>
      </c>
      <c r="G11" t="s">
        <v>21</v>
      </c>
      <c r="H11" t="s">
        <v>40</v>
      </c>
      <c r="I11" t="s">
        <v>41</v>
      </c>
      <c r="J11" t="s">
        <v>42</v>
      </c>
      <c r="K11" t="s">
        <v>81</v>
      </c>
      <c r="L11">
        <v>5</v>
      </c>
      <c r="M11">
        <v>247500</v>
      </c>
      <c r="N11">
        <v>10</v>
      </c>
      <c r="O11">
        <v>32054.5</v>
      </c>
    </row>
    <row r="12" spans="1:15" x14ac:dyDescent="0.3">
      <c r="A12" t="s">
        <v>86</v>
      </c>
      <c r="B12" t="s">
        <v>87</v>
      </c>
      <c r="C12" t="s">
        <v>88</v>
      </c>
      <c r="D12" t="s">
        <v>85</v>
      </c>
      <c r="E12" t="s">
        <v>89</v>
      </c>
      <c r="F12" t="s">
        <v>20</v>
      </c>
      <c r="G12" t="s">
        <v>49</v>
      </c>
      <c r="H12" t="s">
        <v>40</v>
      </c>
      <c r="I12" t="s">
        <v>41</v>
      </c>
      <c r="J12" t="s">
        <v>42</v>
      </c>
      <c r="K12" t="s">
        <v>43</v>
      </c>
      <c r="L12">
        <v>3</v>
      </c>
      <c r="M12">
        <v>2295</v>
      </c>
      <c r="N12">
        <v>15</v>
      </c>
      <c r="O12">
        <v>428.9</v>
      </c>
    </row>
    <row r="13" spans="1:15" x14ac:dyDescent="0.3">
      <c r="A13" t="s">
        <v>90</v>
      </c>
      <c r="B13" t="s">
        <v>91</v>
      </c>
      <c r="C13" t="s">
        <v>92</v>
      </c>
      <c r="D13" t="s">
        <v>39</v>
      </c>
      <c r="E13" t="s">
        <v>19</v>
      </c>
      <c r="F13" t="s">
        <v>20</v>
      </c>
      <c r="G13" t="s">
        <v>21</v>
      </c>
      <c r="H13" t="s">
        <v>59</v>
      </c>
      <c r="I13" t="s">
        <v>93</v>
      </c>
      <c r="J13" t="s">
        <v>94</v>
      </c>
      <c r="K13" t="s">
        <v>81</v>
      </c>
      <c r="L13">
        <v>3</v>
      </c>
      <c r="M13">
        <v>156750</v>
      </c>
      <c r="N13">
        <v>5</v>
      </c>
      <c r="O13">
        <v>16050.18</v>
      </c>
    </row>
    <row r="14" spans="1:15" x14ac:dyDescent="0.3">
      <c r="A14" t="s">
        <v>95</v>
      </c>
      <c r="B14" t="s">
        <v>96</v>
      </c>
      <c r="C14" t="s">
        <v>97</v>
      </c>
      <c r="D14" t="s">
        <v>98</v>
      </c>
      <c r="E14" t="s">
        <v>30</v>
      </c>
      <c r="F14" t="s">
        <v>31</v>
      </c>
      <c r="G14" t="s">
        <v>32</v>
      </c>
      <c r="H14" t="s">
        <v>40</v>
      </c>
      <c r="I14" t="s">
        <v>41</v>
      </c>
      <c r="J14" t="s">
        <v>42</v>
      </c>
      <c r="K14" t="s">
        <v>43</v>
      </c>
      <c r="L14">
        <v>5</v>
      </c>
      <c r="M14">
        <v>29250</v>
      </c>
      <c r="N14">
        <v>10</v>
      </c>
      <c r="O14">
        <v>4627.25</v>
      </c>
    </row>
    <row r="15" spans="1:15" x14ac:dyDescent="0.3">
      <c r="A15" t="s">
        <v>99</v>
      </c>
      <c r="B15" t="s">
        <v>100</v>
      </c>
      <c r="C15" t="s">
        <v>101</v>
      </c>
      <c r="D15" t="s">
        <v>102</v>
      </c>
      <c r="E15" t="s">
        <v>56</v>
      </c>
      <c r="F15" t="s">
        <v>57</v>
      </c>
      <c r="G15" t="s">
        <v>58</v>
      </c>
      <c r="H15" t="s">
        <v>59</v>
      </c>
      <c r="I15" t="s">
        <v>60</v>
      </c>
      <c r="J15" t="s">
        <v>61</v>
      </c>
      <c r="K15" t="s">
        <v>25</v>
      </c>
      <c r="L15">
        <v>3</v>
      </c>
      <c r="M15">
        <v>997.5</v>
      </c>
      <c r="N15">
        <v>5</v>
      </c>
      <c r="O15">
        <v>177.57</v>
      </c>
    </row>
    <row r="16" spans="1:15" x14ac:dyDescent="0.3">
      <c r="A16" t="s">
        <v>103</v>
      </c>
      <c r="B16" t="s">
        <v>104</v>
      </c>
      <c r="C16" t="s">
        <v>105</v>
      </c>
      <c r="D16" t="s">
        <v>98</v>
      </c>
      <c r="E16" t="s">
        <v>106</v>
      </c>
      <c r="F16" t="s">
        <v>20</v>
      </c>
      <c r="G16" t="s">
        <v>49</v>
      </c>
      <c r="H16" t="s">
        <v>40</v>
      </c>
      <c r="I16" t="s">
        <v>50</v>
      </c>
      <c r="J16" t="s">
        <v>51</v>
      </c>
      <c r="K16" t="s">
        <v>43</v>
      </c>
      <c r="L16">
        <v>3</v>
      </c>
      <c r="M16">
        <v>5280</v>
      </c>
      <c r="N16">
        <v>20</v>
      </c>
      <c r="O16">
        <v>813.86</v>
      </c>
    </row>
    <row r="17" spans="1:15" x14ac:dyDescent="0.3">
      <c r="A17" t="s">
        <v>107</v>
      </c>
      <c r="B17" t="s">
        <v>108</v>
      </c>
      <c r="C17" t="s">
        <v>109</v>
      </c>
      <c r="D17" t="s">
        <v>80</v>
      </c>
      <c r="E17" t="s">
        <v>66</v>
      </c>
      <c r="F17" t="s">
        <v>20</v>
      </c>
      <c r="G17" t="s">
        <v>67</v>
      </c>
      <c r="H17" t="s">
        <v>40</v>
      </c>
      <c r="I17" t="s">
        <v>41</v>
      </c>
      <c r="J17" t="s">
        <v>42</v>
      </c>
      <c r="K17" t="s">
        <v>81</v>
      </c>
      <c r="L17">
        <v>2</v>
      </c>
      <c r="M17">
        <v>20400</v>
      </c>
      <c r="N17">
        <v>15</v>
      </c>
      <c r="O17">
        <v>3193.65</v>
      </c>
    </row>
    <row r="18" spans="1:15" x14ac:dyDescent="0.3">
      <c r="A18" t="s">
        <v>110</v>
      </c>
      <c r="B18" t="s">
        <v>111</v>
      </c>
      <c r="C18" t="s">
        <v>112</v>
      </c>
      <c r="D18" t="s">
        <v>55</v>
      </c>
      <c r="E18" t="s">
        <v>113</v>
      </c>
      <c r="F18" t="s">
        <v>114</v>
      </c>
      <c r="G18" t="s">
        <v>115</v>
      </c>
      <c r="H18" t="s">
        <v>22</v>
      </c>
      <c r="I18" t="s">
        <v>23</v>
      </c>
      <c r="J18" t="s">
        <v>24</v>
      </c>
      <c r="K18" t="s">
        <v>62</v>
      </c>
      <c r="L18">
        <v>5</v>
      </c>
      <c r="M18">
        <v>8550</v>
      </c>
      <c r="N18">
        <v>5</v>
      </c>
      <c r="O18">
        <v>960.64</v>
      </c>
    </row>
    <row r="19" spans="1:15" x14ac:dyDescent="0.3">
      <c r="A19" t="s">
        <v>116</v>
      </c>
      <c r="B19" t="s">
        <v>117</v>
      </c>
      <c r="C19" t="s">
        <v>118</v>
      </c>
      <c r="D19" t="s">
        <v>85</v>
      </c>
      <c r="E19" t="s">
        <v>119</v>
      </c>
      <c r="F19" t="s">
        <v>31</v>
      </c>
      <c r="G19" t="s">
        <v>120</v>
      </c>
      <c r="H19" t="s">
        <v>40</v>
      </c>
      <c r="I19" t="s">
        <v>41</v>
      </c>
      <c r="J19" t="s">
        <v>42</v>
      </c>
      <c r="K19" t="s">
        <v>62</v>
      </c>
      <c r="L19">
        <v>1</v>
      </c>
      <c r="M19">
        <v>6800</v>
      </c>
      <c r="N19">
        <v>20</v>
      </c>
      <c r="O19">
        <v>1049.49</v>
      </c>
    </row>
    <row r="20" spans="1:15" x14ac:dyDescent="0.3">
      <c r="A20" t="s">
        <v>121</v>
      </c>
      <c r="B20" t="s">
        <v>122</v>
      </c>
      <c r="C20" t="s">
        <v>123</v>
      </c>
      <c r="D20" t="s">
        <v>98</v>
      </c>
      <c r="E20" t="s">
        <v>66</v>
      </c>
      <c r="F20" t="s">
        <v>20</v>
      </c>
      <c r="G20" t="s">
        <v>67</v>
      </c>
      <c r="H20" t="s">
        <v>22</v>
      </c>
      <c r="I20" t="s">
        <v>23</v>
      </c>
      <c r="J20" t="s">
        <v>24</v>
      </c>
      <c r="K20" t="s">
        <v>81</v>
      </c>
      <c r="L20">
        <v>5</v>
      </c>
      <c r="M20">
        <v>48000</v>
      </c>
      <c r="N20">
        <v>20</v>
      </c>
      <c r="O20">
        <v>8949.5</v>
      </c>
    </row>
    <row r="21" spans="1:15" x14ac:dyDescent="0.3">
      <c r="A21" t="s">
        <v>124</v>
      </c>
      <c r="B21" t="s">
        <v>125</v>
      </c>
      <c r="C21" t="s">
        <v>126</v>
      </c>
      <c r="D21" t="s">
        <v>39</v>
      </c>
      <c r="E21" t="s">
        <v>48</v>
      </c>
      <c r="F21" t="s">
        <v>20</v>
      </c>
      <c r="G21" t="s">
        <v>49</v>
      </c>
      <c r="H21" t="s">
        <v>40</v>
      </c>
      <c r="I21" t="s">
        <v>50</v>
      </c>
      <c r="J21" t="s">
        <v>51</v>
      </c>
      <c r="K21" t="s">
        <v>62</v>
      </c>
      <c r="L21">
        <v>3</v>
      </c>
      <c r="M21">
        <v>4275</v>
      </c>
      <c r="N21">
        <v>5</v>
      </c>
      <c r="O21">
        <v>702.43</v>
      </c>
    </row>
    <row r="22" spans="1:15" x14ac:dyDescent="0.3">
      <c r="A22" t="s">
        <v>127</v>
      </c>
      <c r="B22" t="s">
        <v>128</v>
      </c>
      <c r="C22" t="s">
        <v>129</v>
      </c>
      <c r="D22" t="s">
        <v>85</v>
      </c>
      <c r="E22" t="s">
        <v>130</v>
      </c>
      <c r="F22" t="s">
        <v>131</v>
      </c>
      <c r="G22" t="s">
        <v>132</v>
      </c>
      <c r="H22" t="s">
        <v>33</v>
      </c>
      <c r="I22" t="s">
        <v>68</v>
      </c>
      <c r="J22" t="s">
        <v>133</v>
      </c>
      <c r="K22" t="s">
        <v>25</v>
      </c>
      <c r="L22">
        <v>2</v>
      </c>
      <c r="M22">
        <v>765</v>
      </c>
      <c r="N22">
        <v>15</v>
      </c>
      <c r="O22">
        <v>107.04</v>
      </c>
    </row>
    <row r="23" spans="1:15" x14ac:dyDescent="0.3">
      <c r="A23" t="s">
        <v>134</v>
      </c>
      <c r="B23" t="s">
        <v>135</v>
      </c>
      <c r="C23" t="s">
        <v>136</v>
      </c>
      <c r="D23" t="s">
        <v>80</v>
      </c>
      <c r="E23" t="s">
        <v>119</v>
      </c>
      <c r="F23" t="s">
        <v>31</v>
      </c>
      <c r="G23" t="s">
        <v>120</v>
      </c>
      <c r="H23" t="s">
        <v>59</v>
      </c>
      <c r="I23" t="s">
        <v>60</v>
      </c>
      <c r="J23" t="s">
        <v>61</v>
      </c>
      <c r="K23" t="s">
        <v>43</v>
      </c>
      <c r="L23">
        <v>3</v>
      </c>
      <c r="M23">
        <v>24225</v>
      </c>
      <c r="N23">
        <v>5</v>
      </c>
      <c r="O23">
        <v>3549.47</v>
      </c>
    </row>
    <row r="24" spans="1:15" x14ac:dyDescent="0.3">
      <c r="A24" t="s">
        <v>137</v>
      </c>
      <c r="B24" t="s">
        <v>138</v>
      </c>
      <c r="C24" t="s">
        <v>139</v>
      </c>
      <c r="D24" t="s">
        <v>98</v>
      </c>
      <c r="E24" t="s">
        <v>119</v>
      </c>
      <c r="F24" t="s">
        <v>31</v>
      </c>
      <c r="G24" t="s">
        <v>120</v>
      </c>
      <c r="H24" t="s">
        <v>40</v>
      </c>
      <c r="I24" t="s">
        <v>50</v>
      </c>
      <c r="J24" t="s">
        <v>51</v>
      </c>
      <c r="K24" t="s">
        <v>81</v>
      </c>
      <c r="L24">
        <v>2</v>
      </c>
      <c r="M24">
        <v>17000</v>
      </c>
      <c r="N24">
        <v>0</v>
      </c>
      <c r="O24">
        <v>2919.33</v>
      </c>
    </row>
    <row r="25" spans="1:15" x14ac:dyDescent="0.3">
      <c r="A25" t="s">
        <v>140</v>
      </c>
      <c r="B25" t="s">
        <v>141</v>
      </c>
      <c r="C25" t="s">
        <v>142</v>
      </c>
      <c r="D25" t="s">
        <v>47</v>
      </c>
      <c r="E25" t="s">
        <v>30</v>
      </c>
      <c r="F25" t="s">
        <v>31</v>
      </c>
      <c r="G25" t="s">
        <v>32</v>
      </c>
      <c r="H25" t="s">
        <v>33</v>
      </c>
      <c r="I25" t="s">
        <v>68</v>
      </c>
      <c r="J25" t="s">
        <v>69</v>
      </c>
      <c r="K25" t="s">
        <v>43</v>
      </c>
      <c r="L25">
        <v>5</v>
      </c>
      <c r="M25">
        <v>32500</v>
      </c>
      <c r="N25">
        <v>0</v>
      </c>
      <c r="O25">
        <v>5846.63</v>
      </c>
    </row>
    <row r="26" spans="1:15" x14ac:dyDescent="0.3">
      <c r="A26" t="s">
        <v>143</v>
      </c>
      <c r="B26" t="s">
        <v>144</v>
      </c>
      <c r="C26" t="s">
        <v>145</v>
      </c>
      <c r="D26" t="s">
        <v>18</v>
      </c>
      <c r="E26" t="s">
        <v>66</v>
      </c>
      <c r="F26" t="s">
        <v>20</v>
      </c>
      <c r="G26" t="s">
        <v>67</v>
      </c>
      <c r="H26" t="s">
        <v>40</v>
      </c>
      <c r="I26" t="s">
        <v>50</v>
      </c>
      <c r="J26" t="s">
        <v>51</v>
      </c>
      <c r="K26" t="s">
        <v>62</v>
      </c>
      <c r="L26">
        <v>4</v>
      </c>
      <c r="M26">
        <v>38400</v>
      </c>
      <c r="N26">
        <v>20</v>
      </c>
      <c r="O26">
        <v>7385.2</v>
      </c>
    </row>
    <row r="27" spans="1:15" x14ac:dyDescent="0.3">
      <c r="A27" t="s">
        <v>146</v>
      </c>
      <c r="B27" t="s">
        <v>147</v>
      </c>
      <c r="C27" t="s">
        <v>148</v>
      </c>
      <c r="D27" t="s">
        <v>47</v>
      </c>
      <c r="E27" t="s">
        <v>113</v>
      </c>
      <c r="F27" t="s">
        <v>114</v>
      </c>
      <c r="G27" t="s">
        <v>115</v>
      </c>
      <c r="H27" t="s">
        <v>59</v>
      </c>
      <c r="I27" t="s">
        <v>60</v>
      </c>
      <c r="J27" t="s">
        <v>61</v>
      </c>
      <c r="K27" t="s">
        <v>62</v>
      </c>
      <c r="L27">
        <v>5</v>
      </c>
      <c r="M27">
        <v>7200</v>
      </c>
      <c r="N27">
        <v>20</v>
      </c>
      <c r="O27">
        <v>815.76</v>
      </c>
    </row>
    <row r="28" spans="1:15" x14ac:dyDescent="0.3">
      <c r="A28" t="s">
        <v>149</v>
      </c>
      <c r="B28" t="s">
        <v>150</v>
      </c>
      <c r="C28" t="s">
        <v>151</v>
      </c>
      <c r="D28" t="s">
        <v>18</v>
      </c>
      <c r="E28" t="s">
        <v>89</v>
      </c>
      <c r="F28" t="s">
        <v>20</v>
      </c>
      <c r="G28" t="s">
        <v>49</v>
      </c>
      <c r="H28" t="s">
        <v>40</v>
      </c>
      <c r="I28" t="s">
        <v>41</v>
      </c>
      <c r="J28" t="s">
        <v>42</v>
      </c>
      <c r="K28" t="s">
        <v>25</v>
      </c>
      <c r="L28">
        <v>2</v>
      </c>
      <c r="M28">
        <v>1440</v>
      </c>
      <c r="N28">
        <v>20</v>
      </c>
      <c r="O28">
        <v>158.66999999999999</v>
      </c>
    </row>
    <row r="29" spans="1:15" x14ac:dyDescent="0.3">
      <c r="A29" t="s">
        <v>152</v>
      </c>
      <c r="B29" t="s">
        <v>153</v>
      </c>
      <c r="C29" t="s">
        <v>154</v>
      </c>
      <c r="D29" t="s">
        <v>73</v>
      </c>
      <c r="E29" t="s">
        <v>106</v>
      </c>
      <c r="F29" t="s">
        <v>20</v>
      </c>
      <c r="G29" t="s">
        <v>49</v>
      </c>
      <c r="H29" t="s">
        <v>22</v>
      </c>
      <c r="I29" t="s">
        <v>155</v>
      </c>
      <c r="J29" t="s">
        <v>156</v>
      </c>
      <c r="K29" t="s">
        <v>25</v>
      </c>
      <c r="L29">
        <v>3</v>
      </c>
      <c r="M29">
        <v>6600</v>
      </c>
      <c r="N29">
        <v>0</v>
      </c>
      <c r="O29">
        <v>593.75</v>
      </c>
    </row>
    <row r="30" spans="1:15" x14ac:dyDescent="0.3">
      <c r="A30" t="s">
        <v>157</v>
      </c>
      <c r="B30" t="s">
        <v>158</v>
      </c>
      <c r="C30" t="s">
        <v>159</v>
      </c>
      <c r="D30" t="s">
        <v>85</v>
      </c>
      <c r="E30" t="s">
        <v>106</v>
      </c>
      <c r="F30" t="s">
        <v>20</v>
      </c>
      <c r="G30" t="s">
        <v>49</v>
      </c>
      <c r="H30" t="s">
        <v>59</v>
      </c>
      <c r="I30" t="s">
        <v>93</v>
      </c>
      <c r="J30" t="s">
        <v>94</v>
      </c>
      <c r="K30" t="s">
        <v>43</v>
      </c>
      <c r="L30">
        <v>5</v>
      </c>
      <c r="M30">
        <v>9900</v>
      </c>
      <c r="N30">
        <v>10</v>
      </c>
      <c r="O30">
        <v>1640.91</v>
      </c>
    </row>
    <row r="31" spans="1:15" x14ac:dyDescent="0.3">
      <c r="A31" t="s">
        <v>160</v>
      </c>
      <c r="B31" t="s">
        <v>161</v>
      </c>
      <c r="C31" t="s">
        <v>162</v>
      </c>
      <c r="D31" t="s">
        <v>98</v>
      </c>
      <c r="E31" t="s">
        <v>19</v>
      </c>
      <c r="F31" t="s">
        <v>20</v>
      </c>
      <c r="G31" t="s">
        <v>21</v>
      </c>
      <c r="H31" t="s">
        <v>22</v>
      </c>
      <c r="I31" t="s">
        <v>155</v>
      </c>
      <c r="J31" t="s">
        <v>156</v>
      </c>
      <c r="K31" t="s">
        <v>81</v>
      </c>
      <c r="L31">
        <v>1</v>
      </c>
      <c r="M31">
        <v>49500</v>
      </c>
      <c r="N31">
        <v>10</v>
      </c>
      <c r="O31">
        <v>10199.799999999999</v>
      </c>
    </row>
    <row r="32" spans="1:15" x14ac:dyDescent="0.3">
      <c r="A32" t="s">
        <v>163</v>
      </c>
      <c r="B32" t="s">
        <v>164</v>
      </c>
      <c r="C32" t="s">
        <v>165</v>
      </c>
      <c r="D32" t="s">
        <v>102</v>
      </c>
      <c r="E32" t="s">
        <v>89</v>
      </c>
      <c r="F32" t="s">
        <v>20</v>
      </c>
      <c r="G32" t="s">
        <v>49</v>
      </c>
      <c r="H32" t="s">
        <v>33</v>
      </c>
      <c r="I32" t="s">
        <v>68</v>
      </c>
      <c r="J32" t="s">
        <v>69</v>
      </c>
      <c r="K32" t="s">
        <v>62</v>
      </c>
      <c r="L32">
        <v>3</v>
      </c>
      <c r="M32">
        <v>2160</v>
      </c>
      <c r="N32">
        <v>20</v>
      </c>
      <c r="O32">
        <v>415.5</v>
      </c>
    </row>
    <row r="33" spans="1:15" x14ac:dyDescent="0.3">
      <c r="A33" t="s">
        <v>166</v>
      </c>
      <c r="B33" t="s">
        <v>167</v>
      </c>
      <c r="C33" t="s">
        <v>168</v>
      </c>
      <c r="D33" t="s">
        <v>73</v>
      </c>
      <c r="E33" t="s">
        <v>19</v>
      </c>
      <c r="F33" t="s">
        <v>20</v>
      </c>
      <c r="G33" t="s">
        <v>21</v>
      </c>
      <c r="H33" t="s">
        <v>40</v>
      </c>
      <c r="I33" t="s">
        <v>50</v>
      </c>
      <c r="J33" t="s">
        <v>51</v>
      </c>
      <c r="K33" t="s">
        <v>62</v>
      </c>
      <c r="L33">
        <v>4</v>
      </c>
      <c r="M33">
        <v>220000</v>
      </c>
      <c r="N33">
        <v>0</v>
      </c>
      <c r="O33">
        <v>47833.84</v>
      </c>
    </row>
    <row r="34" spans="1:15" x14ac:dyDescent="0.3">
      <c r="A34" t="s">
        <v>169</v>
      </c>
      <c r="B34" t="s">
        <v>170</v>
      </c>
      <c r="C34" t="s">
        <v>171</v>
      </c>
      <c r="D34" t="s">
        <v>29</v>
      </c>
      <c r="E34" t="s">
        <v>89</v>
      </c>
      <c r="F34" t="s">
        <v>20</v>
      </c>
      <c r="G34" t="s">
        <v>49</v>
      </c>
      <c r="H34" t="s">
        <v>22</v>
      </c>
      <c r="I34" t="s">
        <v>23</v>
      </c>
      <c r="J34" t="s">
        <v>24</v>
      </c>
      <c r="K34" t="s">
        <v>43</v>
      </c>
      <c r="L34">
        <v>1</v>
      </c>
      <c r="M34">
        <v>900</v>
      </c>
      <c r="N34">
        <v>0</v>
      </c>
      <c r="O34">
        <v>76.209999999999994</v>
      </c>
    </row>
    <row r="35" spans="1:15" x14ac:dyDescent="0.3">
      <c r="A35" t="s">
        <v>172</v>
      </c>
      <c r="B35" t="s">
        <v>173</v>
      </c>
      <c r="C35" t="s">
        <v>174</v>
      </c>
      <c r="D35" t="s">
        <v>47</v>
      </c>
      <c r="E35" t="s">
        <v>66</v>
      </c>
      <c r="F35" t="s">
        <v>20</v>
      </c>
      <c r="G35" t="s">
        <v>67</v>
      </c>
      <c r="H35" t="s">
        <v>33</v>
      </c>
      <c r="I35" t="s">
        <v>68</v>
      </c>
      <c r="J35" t="s">
        <v>69</v>
      </c>
      <c r="K35" t="s">
        <v>25</v>
      </c>
      <c r="L35">
        <v>5</v>
      </c>
      <c r="M35">
        <v>57000</v>
      </c>
      <c r="N35">
        <v>5</v>
      </c>
      <c r="O35">
        <v>11743.25</v>
      </c>
    </row>
    <row r="36" spans="1:15" x14ac:dyDescent="0.3">
      <c r="A36" t="s">
        <v>175</v>
      </c>
      <c r="B36" t="s">
        <v>176</v>
      </c>
      <c r="C36" t="s">
        <v>177</v>
      </c>
      <c r="D36" t="s">
        <v>80</v>
      </c>
      <c r="E36" t="s">
        <v>113</v>
      </c>
      <c r="F36" t="s">
        <v>114</v>
      </c>
      <c r="G36" t="s">
        <v>115</v>
      </c>
      <c r="H36" t="s">
        <v>59</v>
      </c>
      <c r="I36" t="s">
        <v>93</v>
      </c>
      <c r="J36" t="s">
        <v>94</v>
      </c>
      <c r="K36" t="s">
        <v>81</v>
      </c>
      <c r="L36">
        <v>1</v>
      </c>
      <c r="M36">
        <v>1530</v>
      </c>
      <c r="N36">
        <v>15</v>
      </c>
      <c r="O36">
        <v>277.37</v>
      </c>
    </row>
    <row r="37" spans="1:15" x14ac:dyDescent="0.3">
      <c r="A37" t="s">
        <v>178</v>
      </c>
      <c r="B37" t="s">
        <v>91</v>
      </c>
      <c r="C37" t="s">
        <v>179</v>
      </c>
      <c r="D37" t="s">
        <v>18</v>
      </c>
      <c r="E37" t="s">
        <v>119</v>
      </c>
      <c r="F37" t="s">
        <v>31</v>
      </c>
      <c r="G37" t="s">
        <v>120</v>
      </c>
      <c r="H37" t="s">
        <v>33</v>
      </c>
      <c r="I37" t="s">
        <v>34</v>
      </c>
      <c r="J37" t="s">
        <v>35</v>
      </c>
      <c r="K37" t="s">
        <v>25</v>
      </c>
      <c r="L37">
        <v>2</v>
      </c>
      <c r="M37">
        <v>16150</v>
      </c>
      <c r="N37">
        <v>5</v>
      </c>
      <c r="O37">
        <v>3336.99</v>
      </c>
    </row>
    <row r="38" spans="1:15" x14ac:dyDescent="0.3">
      <c r="A38" t="s">
        <v>180</v>
      </c>
      <c r="B38" t="s">
        <v>79</v>
      </c>
      <c r="C38" t="s">
        <v>181</v>
      </c>
      <c r="D38" t="s">
        <v>102</v>
      </c>
      <c r="E38" t="s">
        <v>130</v>
      </c>
      <c r="F38" t="s">
        <v>131</v>
      </c>
      <c r="G38" t="s">
        <v>132</v>
      </c>
      <c r="H38" t="s">
        <v>22</v>
      </c>
      <c r="I38" t="s">
        <v>23</v>
      </c>
      <c r="J38" t="s">
        <v>24</v>
      </c>
      <c r="K38" t="s">
        <v>62</v>
      </c>
      <c r="L38">
        <v>3</v>
      </c>
      <c r="M38">
        <v>1350</v>
      </c>
      <c r="N38">
        <v>0</v>
      </c>
      <c r="O38">
        <v>291.85000000000002</v>
      </c>
    </row>
    <row r="39" spans="1:15" x14ac:dyDescent="0.3">
      <c r="A39" t="s">
        <v>182</v>
      </c>
      <c r="B39" t="s">
        <v>183</v>
      </c>
      <c r="C39" t="s">
        <v>184</v>
      </c>
      <c r="D39" t="s">
        <v>29</v>
      </c>
      <c r="E39" t="s">
        <v>56</v>
      </c>
      <c r="F39" t="s">
        <v>57</v>
      </c>
      <c r="G39" t="s">
        <v>58</v>
      </c>
      <c r="H39" t="s">
        <v>33</v>
      </c>
      <c r="I39" t="s">
        <v>68</v>
      </c>
      <c r="J39" t="s">
        <v>133</v>
      </c>
      <c r="K39" t="s">
        <v>43</v>
      </c>
      <c r="L39">
        <v>2</v>
      </c>
      <c r="M39">
        <v>595</v>
      </c>
      <c r="N39">
        <v>15</v>
      </c>
      <c r="O39">
        <v>83.26</v>
      </c>
    </row>
    <row r="40" spans="1:15" x14ac:dyDescent="0.3">
      <c r="A40" t="s">
        <v>185</v>
      </c>
      <c r="B40" t="s">
        <v>186</v>
      </c>
      <c r="C40" t="s">
        <v>187</v>
      </c>
      <c r="D40" t="s">
        <v>55</v>
      </c>
      <c r="E40" t="s">
        <v>56</v>
      </c>
      <c r="F40" t="s">
        <v>57</v>
      </c>
      <c r="G40" t="s">
        <v>58</v>
      </c>
      <c r="H40" t="s">
        <v>22</v>
      </c>
      <c r="I40" t="s">
        <v>155</v>
      </c>
      <c r="J40" t="s">
        <v>156</v>
      </c>
      <c r="K40" t="s">
        <v>81</v>
      </c>
      <c r="L40">
        <v>4</v>
      </c>
      <c r="M40">
        <v>1260</v>
      </c>
      <c r="N40">
        <v>10</v>
      </c>
      <c r="O40">
        <v>186.67</v>
      </c>
    </row>
    <row r="41" spans="1:15" x14ac:dyDescent="0.3">
      <c r="A41" t="s">
        <v>188</v>
      </c>
      <c r="B41" t="s">
        <v>167</v>
      </c>
      <c r="C41" t="s">
        <v>189</v>
      </c>
      <c r="D41" t="s">
        <v>102</v>
      </c>
      <c r="E41" t="s">
        <v>106</v>
      </c>
      <c r="F41" t="s">
        <v>20</v>
      </c>
      <c r="G41" t="s">
        <v>49</v>
      </c>
      <c r="H41" t="s">
        <v>59</v>
      </c>
      <c r="I41" t="s">
        <v>60</v>
      </c>
      <c r="J41" t="s">
        <v>61</v>
      </c>
      <c r="K41" t="s">
        <v>62</v>
      </c>
      <c r="L41">
        <v>5</v>
      </c>
      <c r="M41">
        <v>9900</v>
      </c>
      <c r="N41">
        <v>10</v>
      </c>
      <c r="O41">
        <v>1902.57</v>
      </c>
    </row>
    <row r="42" spans="1:15" x14ac:dyDescent="0.3">
      <c r="A42" t="s">
        <v>190</v>
      </c>
      <c r="B42" t="s">
        <v>191</v>
      </c>
      <c r="C42" t="s">
        <v>192</v>
      </c>
      <c r="D42" t="s">
        <v>85</v>
      </c>
      <c r="E42" t="s">
        <v>119</v>
      </c>
      <c r="F42" t="s">
        <v>31</v>
      </c>
      <c r="G42" t="s">
        <v>120</v>
      </c>
      <c r="H42" t="s">
        <v>33</v>
      </c>
      <c r="I42" t="s">
        <v>34</v>
      </c>
      <c r="J42" t="s">
        <v>35</v>
      </c>
      <c r="K42" t="s">
        <v>25</v>
      </c>
      <c r="L42">
        <v>2</v>
      </c>
      <c r="M42">
        <v>16150</v>
      </c>
      <c r="N42">
        <v>5</v>
      </c>
      <c r="O42">
        <v>1569.51</v>
      </c>
    </row>
    <row r="43" spans="1:15" x14ac:dyDescent="0.3">
      <c r="A43" t="s">
        <v>193</v>
      </c>
      <c r="B43" t="s">
        <v>194</v>
      </c>
      <c r="C43" t="s">
        <v>195</v>
      </c>
      <c r="D43" t="s">
        <v>85</v>
      </c>
      <c r="E43" t="s">
        <v>19</v>
      </c>
      <c r="F43" t="s">
        <v>20</v>
      </c>
      <c r="G43" t="s">
        <v>21</v>
      </c>
      <c r="H43" t="s">
        <v>40</v>
      </c>
      <c r="I43" t="s">
        <v>50</v>
      </c>
      <c r="J43" t="s">
        <v>51</v>
      </c>
      <c r="K43" t="s">
        <v>81</v>
      </c>
      <c r="L43">
        <v>5</v>
      </c>
      <c r="M43">
        <v>233750</v>
      </c>
      <c r="N43">
        <v>15</v>
      </c>
      <c r="O43">
        <v>19755.3</v>
      </c>
    </row>
    <row r="44" spans="1:15" x14ac:dyDescent="0.3">
      <c r="A44" t="s">
        <v>196</v>
      </c>
      <c r="B44" t="s">
        <v>197</v>
      </c>
      <c r="C44" t="s">
        <v>198</v>
      </c>
      <c r="D44" t="s">
        <v>55</v>
      </c>
      <c r="E44" t="s">
        <v>113</v>
      </c>
      <c r="F44" t="s">
        <v>114</v>
      </c>
      <c r="G44" t="s">
        <v>115</v>
      </c>
      <c r="H44" t="s">
        <v>40</v>
      </c>
      <c r="I44" t="s">
        <v>50</v>
      </c>
      <c r="J44" t="s">
        <v>51</v>
      </c>
      <c r="K44" t="s">
        <v>62</v>
      </c>
      <c r="L44">
        <v>5</v>
      </c>
      <c r="M44">
        <v>7650</v>
      </c>
      <c r="N44">
        <v>15</v>
      </c>
      <c r="O44">
        <v>1569.54</v>
      </c>
    </row>
    <row r="45" spans="1:15" x14ac:dyDescent="0.3">
      <c r="A45" t="s">
        <v>199</v>
      </c>
      <c r="B45" t="s">
        <v>200</v>
      </c>
      <c r="C45" t="s">
        <v>201</v>
      </c>
      <c r="D45" t="s">
        <v>102</v>
      </c>
      <c r="E45" t="s">
        <v>106</v>
      </c>
      <c r="F45" t="s">
        <v>20</v>
      </c>
      <c r="G45" t="s">
        <v>49</v>
      </c>
      <c r="H45" t="s">
        <v>59</v>
      </c>
      <c r="I45" t="s">
        <v>60</v>
      </c>
      <c r="J45" t="s">
        <v>61</v>
      </c>
      <c r="K45" t="s">
        <v>43</v>
      </c>
      <c r="L45">
        <v>1</v>
      </c>
      <c r="M45">
        <v>1760</v>
      </c>
      <c r="N45">
        <v>20</v>
      </c>
      <c r="O45">
        <v>269.95</v>
      </c>
    </row>
    <row r="46" spans="1:15" x14ac:dyDescent="0.3">
      <c r="A46" t="s">
        <v>202</v>
      </c>
      <c r="B46" t="s">
        <v>203</v>
      </c>
      <c r="C46" t="s">
        <v>204</v>
      </c>
      <c r="D46" t="s">
        <v>102</v>
      </c>
      <c r="E46" t="s">
        <v>89</v>
      </c>
      <c r="F46" t="s">
        <v>20</v>
      </c>
      <c r="G46" t="s">
        <v>49</v>
      </c>
      <c r="H46" t="s">
        <v>59</v>
      </c>
      <c r="I46" t="s">
        <v>93</v>
      </c>
      <c r="J46" t="s">
        <v>94</v>
      </c>
      <c r="K46" t="s">
        <v>43</v>
      </c>
      <c r="L46">
        <v>5</v>
      </c>
      <c r="M46">
        <v>3600</v>
      </c>
      <c r="N46">
        <v>20</v>
      </c>
      <c r="O46">
        <v>677.66</v>
      </c>
    </row>
    <row r="47" spans="1:15" x14ac:dyDescent="0.3">
      <c r="A47" t="s">
        <v>205</v>
      </c>
      <c r="B47" t="s">
        <v>206</v>
      </c>
      <c r="C47" t="s">
        <v>203</v>
      </c>
      <c r="D47" t="s">
        <v>18</v>
      </c>
      <c r="E47" t="s">
        <v>19</v>
      </c>
      <c r="F47" t="s">
        <v>20</v>
      </c>
      <c r="G47" t="s">
        <v>21</v>
      </c>
      <c r="H47" t="s">
        <v>33</v>
      </c>
      <c r="I47" t="s">
        <v>34</v>
      </c>
      <c r="J47" t="s">
        <v>35</v>
      </c>
      <c r="K47" t="s">
        <v>25</v>
      </c>
      <c r="L47">
        <v>4</v>
      </c>
      <c r="M47">
        <v>187000</v>
      </c>
      <c r="N47">
        <v>15</v>
      </c>
      <c r="O47">
        <v>34083.75</v>
      </c>
    </row>
    <row r="48" spans="1:15" x14ac:dyDescent="0.3">
      <c r="A48" t="s">
        <v>207</v>
      </c>
      <c r="B48" t="s">
        <v>208</v>
      </c>
      <c r="C48" t="s">
        <v>209</v>
      </c>
      <c r="D48" t="s">
        <v>55</v>
      </c>
      <c r="E48" t="s">
        <v>56</v>
      </c>
      <c r="F48" t="s">
        <v>57</v>
      </c>
      <c r="G48" t="s">
        <v>58</v>
      </c>
      <c r="H48" t="s">
        <v>33</v>
      </c>
      <c r="I48" t="s">
        <v>34</v>
      </c>
      <c r="J48" t="s">
        <v>35</v>
      </c>
      <c r="K48" t="s">
        <v>43</v>
      </c>
      <c r="L48">
        <v>4</v>
      </c>
      <c r="M48">
        <v>1330</v>
      </c>
      <c r="N48">
        <v>5</v>
      </c>
      <c r="O48">
        <v>153.77000000000001</v>
      </c>
    </row>
    <row r="49" spans="1:15" x14ac:dyDescent="0.3">
      <c r="A49" t="s">
        <v>210</v>
      </c>
      <c r="B49" t="s">
        <v>211</v>
      </c>
      <c r="C49" t="s">
        <v>212</v>
      </c>
      <c r="D49" t="s">
        <v>73</v>
      </c>
      <c r="E49" t="s">
        <v>56</v>
      </c>
      <c r="F49" t="s">
        <v>57</v>
      </c>
      <c r="G49" t="s">
        <v>58</v>
      </c>
      <c r="H49" t="s">
        <v>40</v>
      </c>
      <c r="I49" t="s">
        <v>50</v>
      </c>
      <c r="J49" t="s">
        <v>51</v>
      </c>
      <c r="K49" t="s">
        <v>43</v>
      </c>
      <c r="L49">
        <v>1</v>
      </c>
      <c r="M49">
        <v>297.5</v>
      </c>
      <c r="N49">
        <v>15</v>
      </c>
      <c r="O49">
        <v>44.22</v>
      </c>
    </row>
    <row r="50" spans="1:15" x14ac:dyDescent="0.3">
      <c r="A50" t="s">
        <v>213</v>
      </c>
      <c r="B50" t="s">
        <v>214</v>
      </c>
      <c r="C50" t="s">
        <v>215</v>
      </c>
      <c r="D50" t="s">
        <v>98</v>
      </c>
      <c r="E50" t="s">
        <v>113</v>
      </c>
      <c r="F50" t="s">
        <v>114</v>
      </c>
      <c r="G50" t="s">
        <v>115</v>
      </c>
      <c r="H50" t="s">
        <v>22</v>
      </c>
      <c r="I50" t="s">
        <v>23</v>
      </c>
      <c r="J50" t="s">
        <v>24</v>
      </c>
      <c r="K50" t="s">
        <v>25</v>
      </c>
      <c r="L50">
        <v>2</v>
      </c>
      <c r="M50">
        <v>3060</v>
      </c>
      <c r="N50">
        <v>15</v>
      </c>
      <c r="O50">
        <v>324.29000000000002</v>
      </c>
    </row>
    <row r="51" spans="1:15" x14ac:dyDescent="0.3">
      <c r="A51" t="s">
        <v>216</v>
      </c>
      <c r="B51" t="s">
        <v>217</v>
      </c>
      <c r="C51" t="s">
        <v>218</v>
      </c>
      <c r="D51" t="s">
        <v>55</v>
      </c>
      <c r="E51" t="s">
        <v>130</v>
      </c>
      <c r="F51" t="s">
        <v>131</v>
      </c>
      <c r="G51" t="s">
        <v>132</v>
      </c>
      <c r="H51" t="s">
        <v>22</v>
      </c>
      <c r="I51" t="s">
        <v>23</v>
      </c>
      <c r="J51" t="s">
        <v>24</v>
      </c>
      <c r="K51" t="s">
        <v>81</v>
      </c>
      <c r="L51">
        <v>3</v>
      </c>
      <c r="M51">
        <v>1282.5</v>
      </c>
      <c r="N51">
        <v>5</v>
      </c>
      <c r="O51">
        <v>243.04</v>
      </c>
    </row>
    <row r="52" spans="1:15" x14ac:dyDescent="0.3">
      <c r="A52" t="s">
        <v>219</v>
      </c>
      <c r="B52" t="s">
        <v>220</v>
      </c>
      <c r="C52" t="s">
        <v>17</v>
      </c>
      <c r="D52" t="s">
        <v>73</v>
      </c>
      <c r="E52" t="s">
        <v>30</v>
      </c>
      <c r="F52" t="s">
        <v>31</v>
      </c>
      <c r="G52" t="s">
        <v>32</v>
      </c>
      <c r="H52" t="s">
        <v>33</v>
      </c>
      <c r="I52" t="s">
        <v>34</v>
      </c>
      <c r="J52" t="s">
        <v>35</v>
      </c>
      <c r="K52" t="s">
        <v>62</v>
      </c>
      <c r="L52">
        <v>3</v>
      </c>
      <c r="M52">
        <v>18525</v>
      </c>
      <c r="N52">
        <v>5</v>
      </c>
      <c r="O52">
        <v>2578.16</v>
      </c>
    </row>
    <row r="53" spans="1:15" x14ac:dyDescent="0.3">
      <c r="A53" t="s">
        <v>221</v>
      </c>
      <c r="B53" t="s">
        <v>222</v>
      </c>
      <c r="C53" t="s">
        <v>223</v>
      </c>
      <c r="D53" t="s">
        <v>102</v>
      </c>
      <c r="E53" t="s">
        <v>30</v>
      </c>
      <c r="F53" t="s">
        <v>31</v>
      </c>
      <c r="G53" t="s">
        <v>32</v>
      </c>
      <c r="H53" t="s">
        <v>33</v>
      </c>
      <c r="I53" t="s">
        <v>34</v>
      </c>
      <c r="J53" t="s">
        <v>35</v>
      </c>
      <c r="K53" t="s">
        <v>81</v>
      </c>
      <c r="L53">
        <v>5</v>
      </c>
      <c r="M53">
        <v>32500</v>
      </c>
      <c r="N53">
        <v>0</v>
      </c>
      <c r="O53">
        <v>2946.68</v>
      </c>
    </row>
    <row r="54" spans="1:15" x14ac:dyDescent="0.3">
      <c r="A54" t="s">
        <v>224</v>
      </c>
      <c r="B54" t="s">
        <v>225</v>
      </c>
      <c r="C54" t="s">
        <v>226</v>
      </c>
      <c r="D54" t="s">
        <v>29</v>
      </c>
      <c r="E54" t="s">
        <v>56</v>
      </c>
      <c r="F54" t="s">
        <v>57</v>
      </c>
      <c r="G54" t="s">
        <v>58</v>
      </c>
      <c r="H54" t="s">
        <v>40</v>
      </c>
      <c r="I54" t="s">
        <v>41</v>
      </c>
      <c r="J54" t="s">
        <v>42</v>
      </c>
      <c r="K54" t="s">
        <v>81</v>
      </c>
      <c r="L54">
        <v>1</v>
      </c>
      <c r="M54">
        <v>280</v>
      </c>
      <c r="N54">
        <v>20</v>
      </c>
      <c r="O54">
        <v>53.93</v>
      </c>
    </row>
    <row r="55" spans="1:15" x14ac:dyDescent="0.3">
      <c r="A55" t="s">
        <v>227</v>
      </c>
      <c r="B55" t="s">
        <v>228</v>
      </c>
      <c r="C55" t="s">
        <v>229</v>
      </c>
      <c r="D55" t="s">
        <v>73</v>
      </c>
      <c r="E55" t="s">
        <v>48</v>
      </c>
      <c r="F55" t="s">
        <v>20</v>
      </c>
      <c r="G55" t="s">
        <v>49</v>
      </c>
      <c r="H55" t="s">
        <v>33</v>
      </c>
      <c r="I55" t="s">
        <v>68</v>
      </c>
      <c r="J55" t="s">
        <v>133</v>
      </c>
      <c r="K55" t="s">
        <v>62</v>
      </c>
      <c r="L55">
        <v>1</v>
      </c>
      <c r="M55">
        <v>1425</v>
      </c>
      <c r="N55">
        <v>5</v>
      </c>
      <c r="O55">
        <v>170.37</v>
      </c>
    </row>
    <row r="56" spans="1:15" x14ac:dyDescent="0.3">
      <c r="A56" t="s">
        <v>230</v>
      </c>
      <c r="B56" t="s">
        <v>231</v>
      </c>
      <c r="C56" t="s">
        <v>232</v>
      </c>
      <c r="D56" t="s">
        <v>18</v>
      </c>
      <c r="E56" t="s">
        <v>56</v>
      </c>
      <c r="F56" t="s">
        <v>57</v>
      </c>
      <c r="G56" t="s">
        <v>58</v>
      </c>
      <c r="H56" t="s">
        <v>33</v>
      </c>
      <c r="I56" t="s">
        <v>68</v>
      </c>
      <c r="J56" t="s">
        <v>69</v>
      </c>
      <c r="K56" t="s">
        <v>43</v>
      </c>
      <c r="L56">
        <v>1</v>
      </c>
      <c r="M56">
        <v>350</v>
      </c>
      <c r="N56">
        <v>0</v>
      </c>
      <c r="O56">
        <v>74.319999999999993</v>
      </c>
    </row>
    <row r="57" spans="1:15" x14ac:dyDescent="0.3">
      <c r="A57" t="s">
        <v>233</v>
      </c>
      <c r="B57" t="s">
        <v>234</v>
      </c>
      <c r="C57" t="s">
        <v>235</v>
      </c>
      <c r="D57" t="s">
        <v>98</v>
      </c>
      <c r="E57" t="s">
        <v>119</v>
      </c>
      <c r="F57" t="s">
        <v>31</v>
      </c>
      <c r="G57" t="s">
        <v>120</v>
      </c>
      <c r="H57" t="s">
        <v>33</v>
      </c>
      <c r="I57" t="s">
        <v>68</v>
      </c>
      <c r="J57" t="s">
        <v>69</v>
      </c>
      <c r="K57" t="s">
        <v>43</v>
      </c>
      <c r="L57">
        <v>2</v>
      </c>
      <c r="M57">
        <v>13600</v>
      </c>
      <c r="N57">
        <v>20</v>
      </c>
      <c r="O57">
        <v>1604.25</v>
      </c>
    </row>
    <row r="58" spans="1:15" x14ac:dyDescent="0.3">
      <c r="A58" t="s">
        <v>236</v>
      </c>
      <c r="B58" t="s">
        <v>104</v>
      </c>
      <c r="C58" t="s">
        <v>237</v>
      </c>
      <c r="D58" t="s">
        <v>73</v>
      </c>
      <c r="E58" t="s">
        <v>19</v>
      </c>
      <c r="F58" t="s">
        <v>20</v>
      </c>
      <c r="G58" t="s">
        <v>21</v>
      </c>
      <c r="H58" t="s">
        <v>59</v>
      </c>
      <c r="I58" t="s">
        <v>60</v>
      </c>
      <c r="J58" t="s">
        <v>61</v>
      </c>
      <c r="K58" t="s">
        <v>25</v>
      </c>
      <c r="L58">
        <v>4</v>
      </c>
      <c r="M58">
        <v>187000</v>
      </c>
      <c r="N58">
        <v>15</v>
      </c>
      <c r="O58">
        <v>15244.73</v>
      </c>
    </row>
    <row r="59" spans="1:15" x14ac:dyDescent="0.3">
      <c r="A59" t="s">
        <v>238</v>
      </c>
      <c r="B59" t="s">
        <v>239</v>
      </c>
      <c r="C59" t="s">
        <v>240</v>
      </c>
      <c r="D59" t="s">
        <v>39</v>
      </c>
      <c r="E59" t="s">
        <v>106</v>
      </c>
      <c r="F59" t="s">
        <v>20</v>
      </c>
      <c r="G59" t="s">
        <v>49</v>
      </c>
      <c r="H59" t="s">
        <v>22</v>
      </c>
      <c r="I59" t="s">
        <v>155</v>
      </c>
      <c r="J59" t="s">
        <v>156</v>
      </c>
      <c r="K59" t="s">
        <v>43</v>
      </c>
      <c r="L59">
        <v>4</v>
      </c>
      <c r="M59">
        <v>7920</v>
      </c>
      <c r="N59">
        <v>10</v>
      </c>
      <c r="O59">
        <v>1061.1500000000001</v>
      </c>
    </row>
    <row r="60" spans="1:15" x14ac:dyDescent="0.3">
      <c r="A60" t="s">
        <v>241</v>
      </c>
      <c r="B60" t="s">
        <v>242</v>
      </c>
      <c r="C60" t="s">
        <v>243</v>
      </c>
      <c r="D60" t="s">
        <v>73</v>
      </c>
      <c r="E60" t="s">
        <v>19</v>
      </c>
      <c r="F60" t="s">
        <v>20</v>
      </c>
      <c r="G60" t="s">
        <v>21</v>
      </c>
      <c r="H60" t="s">
        <v>22</v>
      </c>
      <c r="I60" t="s">
        <v>23</v>
      </c>
      <c r="J60" t="s">
        <v>24</v>
      </c>
      <c r="K60" t="s">
        <v>62</v>
      </c>
      <c r="L60">
        <v>1</v>
      </c>
      <c r="M60">
        <v>49500</v>
      </c>
      <c r="N60">
        <v>10</v>
      </c>
      <c r="O60">
        <v>8037.17</v>
      </c>
    </row>
    <row r="61" spans="1:15" x14ac:dyDescent="0.3">
      <c r="A61" t="s">
        <v>244</v>
      </c>
      <c r="B61" t="s">
        <v>38</v>
      </c>
      <c r="C61" t="s">
        <v>245</v>
      </c>
      <c r="D61" t="s">
        <v>85</v>
      </c>
      <c r="E61" t="s">
        <v>30</v>
      </c>
      <c r="F61" t="s">
        <v>31</v>
      </c>
      <c r="G61" t="s">
        <v>32</v>
      </c>
      <c r="H61" t="s">
        <v>59</v>
      </c>
      <c r="I61" t="s">
        <v>93</v>
      </c>
      <c r="J61" t="s">
        <v>94</v>
      </c>
      <c r="K61" t="s">
        <v>25</v>
      </c>
      <c r="L61">
        <v>4</v>
      </c>
      <c r="M61">
        <v>20800</v>
      </c>
      <c r="N61">
        <v>20</v>
      </c>
      <c r="O61">
        <v>2791.25</v>
      </c>
    </row>
    <row r="62" spans="1:15" x14ac:dyDescent="0.3">
      <c r="A62" t="s">
        <v>246</v>
      </c>
      <c r="B62" t="s">
        <v>247</v>
      </c>
      <c r="C62" t="s">
        <v>27</v>
      </c>
      <c r="D62" t="s">
        <v>47</v>
      </c>
      <c r="E62" t="s">
        <v>130</v>
      </c>
      <c r="F62" t="s">
        <v>131</v>
      </c>
      <c r="G62" t="s">
        <v>132</v>
      </c>
      <c r="H62" t="s">
        <v>22</v>
      </c>
      <c r="I62" t="s">
        <v>23</v>
      </c>
      <c r="J62" t="s">
        <v>24</v>
      </c>
      <c r="K62" t="s">
        <v>25</v>
      </c>
      <c r="L62">
        <v>4</v>
      </c>
      <c r="M62">
        <v>1710</v>
      </c>
      <c r="N62">
        <v>5</v>
      </c>
      <c r="O62">
        <v>293.02</v>
      </c>
    </row>
    <row r="63" spans="1:15" x14ac:dyDescent="0.3">
      <c r="A63" t="s">
        <v>248</v>
      </c>
      <c r="B63" t="s">
        <v>249</v>
      </c>
      <c r="C63" t="s">
        <v>250</v>
      </c>
      <c r="D63" t="s">
        <v>29</v>
      </c>
      <c r="E63" t="s">
        <v>30</v>
      </c>
      <c r="F63" t="s">
        <v>31</v>
      </c>
      <c r="G63" t="s">
        <v>32</v>
      </c>
      <c r="H63" t="s">
        <v>59</v>
      </c>
      <c r="I63" t="s">
        <v>60</v>
      </c>
      <c r="J63" t="s">
        <v>61</v>
      </c>
      <c r="K63" t="s">
        <v>43</v>
      </c>
      <c r="L63">
        <v>1</v>
      </c>
      <c r="M63">
        <v>5525</v>
      </c>
      <c r="N63">
        <v>15</v>
      </c>
      <c r="O63">
        <v>1076.73</v>
      </c>
    </row>
    <row r="64" spans="1:15" x14ac:dyDescent="0.3">
      <c r="A64" t="s">
        <v>251</v>
      </c>
      <c r="B64" t="s">
        <v>252</v>
      </c>
      <c r="C64" t="s">
        <v>45</v>
      </c>
      <c r="D64" t="s">
        <v>39</v>
      </c>
      <c r="E64" t="s">
        <v>30</v>
      </c>
      <c r="F64" t="s">
        <v>31</v>
      </c>
      <c r="G64" t="s">
        <v>32</v>
      </c>
      <c r="H64" t="s">
        <v>22</v>
      </c>
      <c r="I64" t="s">
        <v>155</v>
      </c>
      <c r="J64" t="s">
        <v>156</v>
      </c>
      <c r="K64" t="s">
        <v>62</v>
      </c>
      <c r="L64">
        <v>2</v>
      </c>
      <c r="M64">
        <v>13000</v>
      </c>
      <c r="N64">
        <v>0</v>
      </c>
      <c r="O64">
        <v>2251.61</v>
      </c>
    </row>
    <row r="65" spans="1:15" x14ac:dyDescent="0.3">
      <c r="A65" t="s">
        <v>253</v>
      </c>
      <c r="B65" t="s">
        <v>234</v>
      </c>
      <c r="C65" t="s">
        <v>254</v>
      </c>
      <c r="D65" t="s">
        <v>73</v>
      </c>
      <c r="E65" t="s">
        <v>19</v>
      </c>
      <c r="F65" t="s">
        <v>20</v>
      </c>
      <c r="G65" t="s">
        <v>21</v>
      </c>
      <c r="H65" t="s">
        <v>40</v>
      </c>
      <c r="I65" t="s">
        <v>41</v>
      </c>
      <c r="J65" t="s">
        <v>42</v>
      </c>
      <c r="K65" t="s">
        <v>62</v>
      </c>
      <c r="L65">
        <v>4</v>
      </c>
      <c r="M65">
        <v>176000</v>
      </c>
      <c r="N65">
        <v>20</v>
      </c>
      <c r="O65">
        <v>36931.74</v>
      </c>
    </row>
    <row r="66" spans="1:15" x14ac:dyDescent="0.3">
      <c r="A66" t="s">
        <v>255</v>
      </c>
      <c r="B66" t="s">
        <v>229</v>
      </c>
      <c r="C66" t="s">
        <v>256</v>
      </c>
      <c r="D66" t="s">
        <v>98</v>
      </c>
      <c r="E66" t="s">
        <v>66</v>
      </c>
      <c r="F66" t="s">
        <v>20</v>
      </c>
      <c r="G66" t="s">
        <v>67</v>
      </c>
      <c r="H66" t="s">
        <v>33</v>
      </c>
      <c r="I66" t="s">
        <v>68</v>
      </c>
      <c r="J66" t="s">
        <v>133</v>
      </c>
      <c r="K66" t="s">
        <v>43</v>
      </c>
      <c r="L66">
        <v>4</v>
      </c>
      <c r="M66">
        <v>38400</v>
      </c>
      <c r="N66">
        <v>20</v>
      </c>
      <c r="O66">
        <v>5751.75</v>
      </c>
    </row>
    <row r="67" spans="1:15" x14ac:dyDescent="0.3">
      <c r="A67" t="s">
        <v>257</v>
      </c>
      <c r="B67" t="s">
        <v>258</v>
      </c>
      <c r="C67" t="s">
        <v>194</v>
      </c>
      <c r="D67" t="s">
        <v>39</v>
      </c>
      <c r="E67" t="s">
        <v>30</v>
      </c>
      <c r="F67" t="s">
        <v>31</v>
      </c>
      <c r="G67" t="s">
        <v>32</v>
      </c>
      <c r="H67" t="s">
        <v>40</v>
      </c>
      <c r="I67" t="s">
        <v>41</v>
      </c>
      <c r="J67" t="s">
        <v>42</v>
      </c>
      <c r="K67" t="s">
        <v>81</v>
      </c>
      <c r="L67">
        <v>4</v>
      </c>
      <c r="M67">
        <v>20800</v>
      </c>
      <c r="N67">
        <v>20</v>
      </c>
      <c r="O67">
        <v>2996.77</v>
      </c>
    </row>
    <row r="68" spans="1:15" x14ac:dyDescent="0.3">
      <c r="A68" t="s">
        <v>259</v>
      </c>
      <c r="B68" t="s">
        <v>126</v>
      </c>
      <c r="C68" t="s">
        <v>260</v>
      </c>
      <c r="D68" t="s">
        <v>47</v>
      </c>
      <c r="E68" t="s">
        <v>119</v>
      </c>
      <c r="F68" t="s">
        <v>31</v>
      </c>
      <c r="G68" t="s">
        <v>120</v>
      </c>
      <c r="H68" t="s">
        <v>33</v>
      </c>
      <c r="I68" t="s">
        <v>34</v>
      </c>
      <c r="J68" t="s">
        <v>35</v>
      </c>
      <c r="K68" t="s">
        <v>25</v>
      </c>
      <c r="L68">
        <v>3</v>
      </c>
      <c r="M68">
        <v>22950</v>
      </c>
      <c r="N68">
        <v>10</v>
      </c>
      <c r="O68">
        <v>4604.6099999999997</v>
      </c>
    </row>
    <row r="69" spans="1:15" x14ac:dyDescent="0.3">
      <c r="A69" t="s">
        <v>261</v>
      </c>
      <c r="B69" t="s">
        <v>118</v>
      </c>
      <c r="C69" t="s">
        <v>262</v>
      </c>
      <c r="D69" t="s">
        <v>73</v>
      </c>
      <c r="E69" t="s">
        <v>113</v>
      </c>
      <c r="F69" t="s">
        <v>114</v>
      </c>
      <c r="G69" t="s">
        <v>115</v>
      </c>
      <c r="H69" t="s">
        <v>59</v>
      </c>
      <c r="I69" t="s">
        <v>60</v>
      </c>
      <c r="J69" t="s">
        <v>61</v>
      </c>
      <c r="K69" t="s">
        <v>62</v>
      </c>
      <c r="L69">
        <v>5</v>
      </c>
      <c r="M69">
        <v>9000</v>
      </c>
      <c r="N69">
        <v>0</v>
      </c>
      <c r="O69">
        <v>1143.1099999999999</v>
      </c>
    </row>
    <row r="70" spans="1:15" x14ac:dyDescent="0.3">
      <c r="A70" t="s">
        <v>263</v>
      </c>
      <c r="B70" t="s">
        <v>264</v>
      </c>
      <c r="C70" t="s">
        <v>265</v>
      </c>
      <c r="D70" t="s">
        <v>80</v>
      </c>
      <c r="E70" t="s">
        <v>48</v>
      </c>
      <c r="F70" t="s">
        <v>20</v>
      </c>
      <c r="G70" t="s">
        <v>49</v>
      </c>
      <c r="H70" t="s">
        <v>40</v>
      </c>
      <c r="I70" t="s">
        <v>50</v>
      </c>
      <c r="J70" t="s">
        <v>51</v>
      </c>
      <c r="K70" t="s">
        <v>25</v>
      </c>
      <c r="L70">
        <v>1</v>
      </c>
      <c r="M70">
        <v>1500</v>
      </c>
      <c r="N70">
        <v>0</v>
      </c>
      <c r="O70">
        <v>151.97999999999999</v>
      </c>
    </row>
    <row r="71" spans="1:15" x14ac:dyDescent="0.3">
      <c r="A71" t="s">
        <v>266</v>
      </c>
      <c r="B71" t="s">
        <v>267</v>
      </c>
      <c r="C71" t="s">
        <v>173</v>
      </c>
      <c r="D71" t="s">
        <v>55</v>
      </c>
      <c r="E71" t="s">
        <v>66</v>
      </c>
      <c r="F71" t="s">
        <v>20</v>
      </c>
      <c r="G71" t="s">
        <v>67</v>
      </c>
      <c r="H71" t="s">
        <v>59</v>
      </c>
      <c r="I71" t="s">
        <v>60</v>
      </c>
      <c r="J71" t="s">
        <v>61</v>
      </c>
      <c r="K71" t="s">
        <v>81</v>
      </c>
      <c r="L71">
        <v>4</v>
      </c>
      <c r="M71">
        <v>48000</v>
      </c>
      <c r="N71">
        <v>0</v>
      </c>
      <c r="O71">
        <v>4748.42</v>
      </c>
    </row>
    <row r="72" spans="1:15" x14ac:dyDescent="0.3">
      <c r="A72" t="s">
        <v>268</v>
      </c>
      <c r="B72" t="s">
        <v>269</v>
      </c>
      <c r="C72" t="s">
        <v>270</v>
      </c>
      <c r="D72" t="s">
        <v>55</v>
      </c>
      <c r="E72" t="s">
        <v>130</v>
      </c>
      <c r="F72" t="s">
        <v>131</v>
      </c>
      <c r="G72" t="s">
        <v>132</v>
      </c>
      <c r="H72" t="s">
        <v>59</v>
      </c>
      <c r="I72" t="s">
        <v>60</v>
      </c>
      <c r="J72" t="s">
        <v>61</v>
      </c>
      <c r="K72" t="s">
        <v>25</v>
      </c>
      <c r="L72">
        <v>4</v>
      </c>
      <c r="M72">
        <v>1800</v>
      </c>
      <c r="N72">
        <v>0</v>
      </c>
      <c r="O72">
        <v>387.69</v>
      </c>
    </row>
    <row r="73" spans="1:15" x14ac:dyDescent="0.3">
      <c r="A73" t="s">
        <v>271</v>
      </c>
      <c r="B73" t="s">
        <v>272</v>
      </c>
      <c r="C73" t="s">
        <v>135</v>
      </c>
      <c r="D73" t="s">
        <v>98</v>
      </c>
      <c r="E73" t="s">
        <v>106</v>
      </c>
      <c r="F73" t="s">
        <v>20</v>
      </c>
      <c r="G73" t="s">
        <v>49</v>
      </c>
      <c r="H73" t="s">
        <v>22</v>
      </c>
      <c r="I73" t="s">
        <v>155</v>
      </c>
      <c r="J73" t="s">
        <v>156</v>
      </c>
      <c r="K73" t="s">
        <v>43</v>
      </c>
      <c r="L73">
        <v>1</v>
      </c>
      <c r="M73">
        <v>1870</v>
      </c>
      <c r="N73">
        <v>15</v>
      </c>
      <c r="O73">
        <v>184.94</v>
      </c>
    </row>
    <row r="74" spans="1:15" x14ac:dyDescent="0.3">
      <c r="A74" t="s">
        <v>273</v>
      </c>
      <c r="B74" t="s">
        <v>274</v>
      </c>
      <c r="C74" t="s">
        <v>275</v>
      </c>
      <c r="D74" t="s">
        <v>73</v>
      </c>
      <c r="E74" t="s">
        <v>66</v>
      </c>
      <c r="F74" t="s">
        <v>20</v>
      </c>
      <c r="G74" t="s">
        <v>67</v>
      </c>
      <c r="H74" t="s">
        <v>22</v>
      </c>
      <c r="I74" t="s">
        <v>155</v>
      </c>
      <c r="J74" t="s">
        <v>156</v>
      </c>
      <c r="K74" t="s">
        <v>62</v>
      </c>
      <c r="L74">
        <v>1</v>
      </c>
      <c r="M74">
        <v>10200</v>
      </c>
      <c r="N74">
        <v>15</v>
      </c>
      <c r="O74">
        <v>1924.25</v>
      </c>
    </row>
    <row r="75" spans="1:15" x14ac:dyDescent="0.3">
      <c r="A75" t="s">
        <v>276</v>
      </c>
      <c r="B75" t="s">
        <v>277</v>
      </c>
      <c r="C75" t="s">
        <v>278</v>
      </c>
      <c r="D75" t="s">
        <v>29</v>
      </c>
      <c r="E75" t="s">
        <v>66</v>
      </c>
      <c r="F75" t="s">
        <v>20</v>
      </c>
      <c r="G75" t="s">
        <v>67</v>
      </c>
      <c r="H75" t="s">
        <v>40</v>
      </c>
      <c r="I75" t="s">
        <v>41</v>
      </c>
      <c r="J75" t="s">
        <v>42</v>
      </c>
      <c r="K75" t="s">
        <v>81</v>
      </c>
      <c r="L75">
        <v>1</v>
      </c>
      <c r="M75">
        <v>12000</v>
      </c>
      <c r="N75">
        <v>0</v>
      </c>
      <c r="O75">
        <v>2358.59</v>
      </c>
    </row>
    <row r="76" spans="1:15" x14ac:dyDescent="0.3">
      <c r="A76" t="s">
        <v>279</v>
      </c>
      <c r="B76" t="s">
        <v>280</v>
      </c>
      <c r="C76" t="s">
        <v>281</v>
      </c>
      <c r="D76" t="s">
        <v>102</v>
      </c>
      <c r="E76" t="s">
        <v>19</v>
      </c>
      <c r="F76" t="s">
        <v>20</v>
      </c>
      <c r="G76" t="s">
        <v>21</v>
      </c>
      <c r="H76" t="s">
        <v>22</v>
      </c>
      <c r="I76" t="s">
        <v>23</v>
      </c>
      <c r="J76" t="s">
        <v>24</v>
      </c>
      <c r="K76" t="s">
        <v>81</v>
      </c>
      <c r="L76">
        <v>4</v>
      </c>
      <c r="M76">
        <v>198000</v>
      </c>
      <c r="N76">
        <v>10</v>
      </c>
      <c r="O76">
        <v>19094.25</v>
      </c>
    </row>
    <row r="77" spans="1:15" x14ac:dyDescent="0.3">
      <c r="A77" t="s">
        <v>282</v>
      </c>
      <c r="B77" t="s">
        <v>138</v>
      </c>
      <c r="C77" t="s">
        <v>283</v>
      </c>
      <c r="D77" t="s">
        <v>85</v>
      </c>
      <c r="E77" t="s">
        <v>119</v>
      </c>
      <c r="F77" t="s">
        <v>31</v>
      </c>
      <c r="G77" t="s">
        <v>120</v>
      </c>
      <c r="H77" t="s">
        <v>40</v>
      </c>
      <c r="I77" t="s">
        <v>41</v>
      </c>
      <c r="J77" t="s">
        <v>42</v>
      </c>
      <c r="K77" t="s">
        <v>81</v>
      </c>
      <c r="L77">
        <v>5</v>
      </c>
      <c r="M77">
        <v>34000</v>
      </c>
      <c r="N77">
        <v>20</v>
      </c>
      <c r="O77">
        <v>3991.7</v>
      </c>
    </row>
    <row r="78" spans="1:15" x14ac:dyDescent="0.3">
      <c r="A78" t="s">
        <v>284</v>
      </c>
      <c r="B78" t="s">
        <v>252</v>
      </c>
      <c r="C78" t="s">
        <v>285</v>
      </c>
      <c r="D78" t="s">
        <v>29</v>
      </c>
      <c r="E78" t="s">
        <v>106</v>
      </c>
      <c r="F78" t="s">
        <v>20</v>
      </c>
      <c r="G78" t="s">
        <v>49</v>
      </c>
      <c r="H78" t="s">
        <v>22</v>
      </c>
      <c r="I78" t="s">
        <v>155</v>
      </c>
      <c r="J78" t="s">
        <v>156</v>
      </c>
      <c r="K78" t="s">
        <v>25</v>
      </c>
      <c r="L78">
        <v>2</v>
      </c>
      <c r="M78">
        <v>3960</v>
      </c>
      <c r="N78">
        <v>10</v>
      </c>
      <c r="O78">
        <v>823.96</v>
      </c>
    </row>
    <row r="79" spans="1:15" x14ac:dyDescent="0.3">
      <c r="A79" t="s">
        <v>286</v>
      </c>
      <c r="B79" t="s">
        <v>287</v>
      </c>
      <c r="C79" t="s">
        <v>288</v>
      </c>
      <c r="D79" t="s">
        <v>55</v>
      </c>
      <c r="E79" t="s">
        <v>113</v>
      </c>
      <c r="F79" t="s">
        <v>114</v>
      </c>
      <c r="G79" t="s">
        <v>115</v>
      </c>
      <c r="H79" t="s">
        <v>40</v>
      </c>
      <c r="I79" t="s">
        <v>50</v>
      </c>
      <c r="J79" t="s">
        <v>51</v>
      </c>
      <c r="K79" t="s">
        <v>62</v>
      </c>
      <c r="L79">
        <v>2</v>
      </c>
      <c r="M79">
        <v>2880</v>
      </c>
      <c r="N79">
        <v>20</v>
      </c>
      <c r="O79">
        <v>289.49</v>
      </c>
    </row>
    <row r="80" spans="1:15" x14ac:dyDescent="0.3">
      <c r="A80" t="s">
        <v>289</v>
      </c>
      <c r="B80" t="s">
        <v>176</v>
      </c>
      <c r="C80" t="s">
        <v>177</v>
      </c>
      <c r="D80" t="s">
        <v>98</v>
      </c>
      <c r="E80" t="s">
        <v>119</v>
      </c>
      <c r="F80" t="s">
        <v>31</v>
      </c>
      <c r="G80" t="s">
        <v>120</v>
      </c>
      <c r="H80" t="s">
        <v>59</v>
      </c>
      <c r="I80" t="s">
        <v>60</v>
      </c>
      <c r="J80" t="s">
        <v>61</v>
      </c>
      <c r="K80" t="s">
        <v>62</v>
      </c>
      <c r="L80">
        <v>3</v>
      </c>
      <c r="M80">
        <v>20400</v>
      </c>
      <c r="N80">
        <v>20</v>
      </c>
      <c r="O80">
        <v>2409.44</v>
      </c>
    </row>
    <row r="81" spans="1:15" x14ac:dyDescent="0.3">
      <c r="A81" t="s">
        <v>290</v>
      </c>
      <c r="B81" t="s">
        <v>291</v>
      </c>
      <c r="C81" t="s">
        <v>292</v>
      </c>
      <c r="D81" t="s">
        <v>55</v>
      </c>
      <c r="E81" t="s">
        <v>89</v>
      </c>
      <c r="F81" t="s">
        <v>20</v>
      </c>
      <c r="G81" t="s">
        <v>49</v>
      </c>
      <c r="H81" t="s">
        <v>33</v>
      </c>
      <c r="I81" t="s">
        <v>68</v>
      </c>
      <c r="J81" t="s">
        <v>133</v>
      </c>
      <c r="K81" t="s">
        <v>25</v>
      </c>
      <c r="L81">
        <v>4</v>
      </c>
      <c r="M81">
        <v>3060</v>
      </c>
      <c r="N81">
        <v>15</v>
      </c>
      <c r="O81">
        <v>344.79</v>
      </c>
    </row>
    <row r="82" spans="1:15" x14ac:dyDescent="0.3">
      <c r="A82" t="s">
        <v>293</v>
      </c>
      <c r="B82" t="s">
        <v>294</v>
      </c>
      <c r="C82" t="s">
        <v>295</v>
      </c>
      <c r="D82" t="s">
        <v>55</v>
      </c>
      <c r="E82" t="s">
        <v>19</v>
      </c>
      <c r="F82" t="s">
        <v>20</v>
      </c>
      <c r="G82" t="s">
        <v>21</v>
      </c>
      <c r="H82" t="s">
        <v>40</v>
      </c>
      <c r="I82" t="s">
        <v>41</v>
      </c>
      <c r="J82" t="s">
        <v>42</v>
      </c>
      <c r="K82" t="s">
        <v>62</v>
      </c>
      <c r="L82">
        <v>3</v>
      </c>
      <c r="M82">
        <v>132000</v>
      </c>
      <c r="N82">
        <v>20</v>
      </c>
      <c r="O82">
        <v>17602.939999999999</v>
      </c>
    </row>
    <row r="83" spans="1:15" x14ac:dyDescent="0.3">
      <c r="A83" t="s">
        <v>296</v>
      </c>
      <c r="B83" t="s">
        <v>297</v>
      </c>
      <c r="C83" t="s">
        <v>162</v>
      </c>
      <c r="D83" t="s">
        <v>39</v>
      </c>
      <c r="E83" t="s">
        <v>89</v>
      </c>
      <c r="F83" t="s">
        <v>20</v>
      </c>
      <c r="G83" t="s">
        <v>49</v>
      </c>
      <c r="H83" t="s">
        <v>59</v>
      </c>
      <c r="I83" t="s">
        <v>93</v>
      </c>
      <c r="J83" t="s">
        <v>94</v>
      </c>
      <c r="K83" t="s">
        <v>81</v>
      </c>
      <c r="L83">
        <v>1</v>
      </c>
      <c r="M83">
        <v>810</v>
      </c>
      <c r="N83">
        <v>10</v>
      </c>
      <c r="O83">
        <v>90.28</v>
      </c>
    </row>
    <row r="84" spans="1:15" x14ac:dyDescent="0.3">
      <c r="A84" t="s">
        <v>298</v>
      </c>
      <c r="B84" t="s">
        <v>299</v>
      </c>
      <c r="C84" t="s">
        <v>300</v>
      </c>
      <c r="D84" t="s">
        <v>73</v>
      </c>
      <c r="E84" t="s">
        <v>106</v>
      </c>
      <c r="F84" t="s">
        <v>20</v>
      </c>
      <c r="G84" t="s">
        <v>49</v>
      </c>
      <c r="H84" t="s">
        <v>59</v>
      </c>
      <c r="I84" t="s">
        <v>93</v>
      </c>
      <c r="J84" t="s">
        <v>94</v>
      </c>
      <c r="K84" t="s">
        <v>62</v>
      </c>
      <c r="L84">
        <v>4</v>
      </c>
      <c r="M84">
        <v>7040</v>
      </c>
      <c r="N84">
        <v>20</v>
      </c>
      <c r="O84">
        <v>1049.18</v>
      </c>
    </row>
    <row r="85" spans="1:15" x14ac:dyDescent="0.3">
      <c r="A85" t="s">
        <v>301</v>
      </c>
      <c r="B85" t="s">
        <v>176</v>
      </c>
      <c r="C85" t="s">
        <v>277</v>
      </c>
      <c r="D85" t="s">
        <v>29</v>
      </c>
      <c r="E85" t="s">
        <v>106</v>
      </c>
      <c r="F85" t="s">
        <v>20</v>
      </c>
      <c r="G85" t="s">
        <v>49</v>
      </c>
      <c r="H85" t="s">
        <v>33</v>
      </c>
      <c r="I85" t="s">
        <v>34</v>
      </c>
      <c r="J85" t="s">
        <v>35</v>
      </c>
      <c r="K85" t="s">
        <v>25</v>
      </c>
      <c r="L85">
        <v>4</v>
      </c>
      <c r="M85">
        <v>7920</v>
      </c>
      <c r="N85">
        <v>10</v>
      </c>
      <c r="O85">
        <v>810.74</v>
      </c>
    </row>
    <row r="86" spans="1:15" x14ac:dyDescent="0.3">
      <c r="A86" t="s">
        <v>302</v>
      </c>
      <c r="B86" t="s">
        <v>303</v>
      </c>
      <c r="C86" t="s">
        <v>17</v>
      </c>
      <c r="D86" t="s">
        <v>29</v>
      </c>
      <c r="E86" t="s">
        <v>130</v>
      </c>
      <c r="F86" t="s">
        <v>131</v>
      </c>
      <c r="G86" t="s">
        <v>132</v>
      </c>
      <c r="H86" t="s">
        <v>59</v>
      </c>
      <c r="I86" t="s">
        <v>93</v>
      </c>
      <c r="J86" t="s">
        <v>94</v>
      </c>
      <c r="K86" t="s">
        <v>43</v>
      </c>
      <c r="L86">
        <v>3</v>
      </c>
      <c r="M86">
        <v>1147.5</v>
      </c>
      <c r="N86">
        <v>15</v>
      </c>
      <c r="O86">
        <v>237.72</v>
      </c>
    </row>
    <row r="87" spans="1:15" x14ac:dyDescent="0.3">
      <c r="A87" t="s">
        <v>304</v>
      </c>
      <c r="B87" t="s">
        <v>305</v>
      </c>
      <c r="C87" t="s">
        <v>72</v>
      </c>
      <c r="D87" t="s">
        <v>98</v>
      </c>
      <c r="E87" t="s">
        <v>130</v>
      </c>
      <c r="F87" t="s">
        <v>131</v>
      </c>
      <c r="G87" t="s">
        <v>132</v>
      </c>
      <c r="H87" t="s">
        <v>40</v>
      </c>
      <c r="I87" t="s">
        <v>50</v>
      </c>
      <c r="J87" t="s">
        <v>51</v>
      </c>
      <c r="K87" t="s">
        <v>43</v>
      </c>
      <c r="L87">
        <v>1</v>
      </c>
      <c r="M87">
        <v>427.5</v>
      </c>
      <c r="N87">
        <v>5</v>
      </c>
      <c r="O87">
        <v>61.67</v>
      </c>
    </row>
    <row r="88" spans="1:15" x14ac:dyDescent="0.3">
      <c r="A88" t="s">
        <v>306</v>
      </c>
      <c r="B88" t="s">
        <v>173</v>
      </c>
      <c r="C88" t="s">
        <v>291</v>
      </c>
      <c r="D88" t="s">
        <v>55</v>
      </c>
      <c r="E88" t="s">
        <v>48</v>
      </c>
      <c r="F88" t="s">
        <v>20</v>
      </c>
      <c r="G88" t="s">
        <v>49</v>
      </c>
      <c r="H88" t="s">
        <v>33</v>
      </c>
      <c r="I88" t="s">
        <v>34</v>
      </c>
      <c r="J88" t="s">
        <v>35</v>
      </c>
      <c r="K88" t="s">
        <v>25</v>
      </c>
      <c r="L88">
        <v>5</v>
      </c>
      <c r="M88">
        <v>7125</v>
      </c>
      <c r="N88">
        <v>5</v>
      </c>
      <c r="O88">
        <v>862.3</v>
      </c>
    </row>
    <row r="89" spans="1:15" x14ac:dyDescent="0.3">
      <c r="A89" t="s">
        <v>307</v>
      </c>
      <c r="B89" t="s">
        <v>308</v>
      </c>
      <c r="C89" t="s">
        <v>309</v>
      </c>
      <c r="D89" t="s">
        <v>73</v>
      </c>
      <c r="E89" t="s">
        <v>119</v>
      </c>
      <c r="F89" t="s">
        <v>31</v>
      </c>
      <c r="G89" t="s">
        <v>120</v>
      </c>
      <c r="H89" t="s">
        <v>40</v>
      </c>
      <c r="I89" t="s">
        <v>41</v>
      </c>
      <c r="J89" t="s">
        <v>42</v>
      </c>
      <c r="K89" t="s">
        <v>25</v>
      </c>
      <c r="L89">
        <v>2</v>
      </c>
      <c r="M89">
        <v>13600</v>
      </c>
      <c r="N89">
        <v>20</v>
      </c>
      <c r="O89">
        <v>1211.46</v>
      </c>
    </row>
    <row r="90" spans="1:15" x14ac:dyDescent="0.3">
      <c r="A90" t="s">
        <v>310</v>
      </c>
      <c r="B90" t="s">
        <v>311</v>
      </c>
      <c r="C90" t="s">
        <v>312</v>
      </c>
      <c r="D90" t="s">
        <v>55</v>
      </c>
      <c r="E90" t="s">
        <v>30</v>
      </c>
      <c r="F90" t="s">
        <v>31</v>
      </c>
      <c r="G90" t="s">
        <v>32</v>
      </c>
      <c r="H90" t="s">
        <v>22</v>
      </c>
      <c r="I90" t="s">
        <v>23</v>
      </c>
      <c r="J90" t="s">
        <v>24</v>
      </c>
      <c r="K90" t="s">
        <v>25</v>
      </c>
      <c r="L90">
        <v>2</v>
      </c>
      <c r="M90">
        <v>13000</v>
      </c>
      <c r="N90">
        <v>0</v>
      </c>
      <c r="O90">
        <v>1432.01</v>
      </c>
    </row>
    <row r="91" spans="1:15" x14ac:dyDescent="0.3">
      <c r="A91" t="s">
        <v>313</v>
      </c>
      <c r="B91" t="s">
        <v>314</v>
      </c>
      <c r="C91" t="s">
        <v>144</v>
      </c>
      <c r="D91" t="s">
        <v>47</v>
      </c>
      <c r="E91" t="s">
        <v>113</v>
      </c>
      <c r="F91" t="s">
        <v>114</v>
      </c>
      <c r="G91" t="s">
        <v>115</v>
      </c>
      <c r="H91" t="s">
        <v>33</v>
      </c>
      <c r="I91" t="s">
        <v>34</v>
      </c>
      <c r="J91" t="s">
        <v>35</v>
      </c>
      <c r="K91" t="s">
        <v>62</v>
      </c>
      <c r="L91">
        <v>4</v>
      </c>
      <c r="M91">
        <v>6840</v>
      </c>
      <c r="N91">
        <v>5</v>
      </c>
      <c r="O91">
        <v>809.32</v>
      </c>
    </row>
    <row r="92" spans="1:15" x14ac:dyDescent="0.3">
      <c r="A92" t="s">
        <v>315</v>
      </c>
      <c r="B92" t="s">
        <v>316</v>
      </c>
      <c r="C92" t="s">
        <v>54</v>
      </c>
      <c r="D92" t="s">
        <v>85</v>
      </c>
      <c r="E92" t="s">
        <v>30</v>
      </c>
      <c r="F92" t="s">
        <v>31</v>
      </c>
      <c r="G92" t="s">
        <v>32</v>
      </c>
      <c r="H92" t="s">
        <v>59</v>
      </c>
      <c r="I92" t="s">
        <v>60</v>
      </c>
      <c r="J92" t="s">
        <v>61</v>
      </c>
      <c r="K92" t="s">
        <v>25</v>
      </c>
      <c r="L92">
        <v>4</v>
      </c>
      <c r="M92">
        <v>22100</v>
      </c>
      <c r="N92">
        <v>15</v>
      </c>
      <c r="O92">
        <v>2580.1</v>
      </c>
    </row>
    <row r="93" spans="1:15" x14ac:dyDescent="0.3">
      <c r="A93" t="s">
        <v>317</v>
      </c>
      <c r="B93" t="s">
        <v>165</v>
      </c>
      <c r="C93" t="s">
        <v>218</v>
      </c>
      <c r="D93" t="s">
        <v>18</v>
      </c>
      <c r="E93" t="s">
        <v>106</v>
      </c>
      <c r="F93" t="s">
        <v>20</v>
      </c>
      <c r="G93" t="s">
        <v>49</v>
      </c>
      <c r="H93" t="s">
        <v>59</v>
      </c>
      <c r="I93" t="s">
        <v>60</v>
      </c>
      <c r="J93" t="s">
        <v>61</v>
      </c>
      <c r="K93" t="s">
        <v>25</v>
      </c>
      <c r="L93">
        <v>1</v>
      </c>
      <c r="M93">
        <v>2090</v>
      </c>
      <c r="N93">
        <v>5</v>
      </c>
      <c r="O93">
        <v>400.6</v>
      </c>
    </row>
    <row r="94" spans="1:15" x14ac:dyDescent="0.3">
      <c r="A94" t="s">
        <v>318</v>
      </c>
      <c r="B94" t="s">
        <v>138</v>
      </c>
      <c r="C94" t="s">
        <v>139</v>
      </c>
      <c r="D94" t="s">
        <v>102</v>
      </c>
      <c r="E94" t="s">
        <v>56</v>
      </c>
      <c r="F94" t="s">
        <v>57</v>
      </c>
      <c r="G94" t="s">
        <v>58</v>
      </c>
      <c r="H94" t="s">
        <v>33</v>
      </c>
      <c r="I94" t="s">
        <v>68</v>
      </c>
      <c r="J94" t="s">
        <v>69</v>
      </c>
      <c r="K94" t="s">
        <v>43</v>
      </c>
      <c r="L94">
        <v>5</v>
      </c>
      <c r="M94">
        <v>1400</v>
      </c>
      <c r="N94">
        <v>20</v>
      </c>
      <c r="O94">
        <v>195.57</v>
      </c>
    </row>
    <row r="95" spans="1:15" x14ac:dyDescent="0.3">
      <c r="A95" t="s">
        <v>319</v>
      </c>
      <c r="B95" t="s">
        <v>320</v>
      </c>
      <c r="C95" t="s">
        <v>72</v>
      </c>
      <c r="D95" t="s">
        <v>55</v>
      </c>
      <c r="E95" t="s">
        <v>48</v>
      </c>
      <c r="F95" t="s">
        <v>20</v>
      </c>
      <c r="G95" t="s">
        <v>49</v>
      </c>
      <c r="H95" t="s">
        <v>59</v>
      </c>
      <c r="I95" t="s">
        <v>93</v>
      </c>
      <c r="J95" t="s">
        <v>94</v>
      </c>
      <c r="K95" t="s">
        <v>81</v>
      </c>
      <c r="L95">
        <v>4</v>
      </c>
      <c r="M95">
        <v>6000</v>
      </c>
      <c r="N95">
        <v>0</v>
      </c>
      <c r="O95">
        <v>1151.3599999999999</v>
      </c>
    </row>
    <row r="96" spans="1:15" x14ac:dyDescent="0.3">
      <c r="A96" t="s">
        <v>321</v>
      </c>
      <c r="B96" t="s">
        <v>177</v>
      </c>
      <c r="C96" t="s">
        <v>322</v>
      </c>
      <c r="D96" t="s">
        <v>85</v>
      </c>
      <c r="E96" t="s">
        <v>19</v>
      </c>
      <c r="F96" t="s">
        <v>20</v>
      </c>
      <c r="G96" t="s">
        <v>21</v>
      </c>
      <c r="H96" t="s">
        <v>59</v>
      </c>
      <c r="I96" t="s">
        <v>93</v>
      </c>
      <c r="J96" t="s">
        <v>94</v>
      </c>
      <c r="K96" t="s">
        <v>62</v>
      </c>
      <c r="L96">
        <v>1</v>
      </c>
      <c r="M96">
        <v>52250</v>
      </c>
      <c r="N96">
        <v>5</v>
      </c>
      <c r="O96">
        <v>8078.59</v>
      </c>
    </row>
    <row r="97" spans="1:15" x14ac:dyDescent="0.3">
      <c r="A97" t="s">
        <v>323</v>
      </c>
      <c r="B97" t="s">
        <v>181</v>
      </c>
      <c r="C97" t="s">
        <v>324</v>
      </c>
      <c r="D97" t="s">
        <v>102</v>
      </c>
      <c r="E97" t="s">
        <v>113</v>
      </c>
      <c r="F97" t="s">
        <v>114</v>
      </c>
      <c r="G97" t="s">
        <v>115</v>
      </c>
      <c r="H97" t="s">
        <v>40</v>
      </c>
      <c r="I97" t="s">
        <v>41</v>
      </c>
      <c r="J97" t="s">
        <v>42</v>
      </c>
      <c r="K97" t="s">
        <v>43</v>
      </c>
      <c r="L97">
        <v>2</v>
      </c>
      <c r="M97">
        <v>3240</v>
      </c>
      <c r="N97">
        <v>10</v>
      </c>
      <c r="O97">
        <v>536.46</v>
      </c>
    </row>
    <row r="98" spans="1:15" x14ac:dyDescent="0.3">
      <c r="A98" t="s">
        <v>325</v>
      </c>
      <c r="B98" t="s">
        <v>235</v>
      </c>
      <c r="C98" t="s">
        <v>326</v>
      </c>
      <c r="D98" t="s">
        <v>39</v>
      </c>
      <c r="E98" t="s">
        <v>19</v>
      </c>
      <c r="F98" t="s">
        <v>20</v>
      </c>
      <c r="G98" t="s">
        <v>21</v>
      </c>
      <c r="H98" t="s">
        <v>22</v>
      </c>
      <c r="I98" t="s">
        <v>23</v>
      </c>
      <c r="J98" t="s">
        <v>24</v>
      </c>
      <c r="K98" t="s">
        <v>81</v>
      </c>
      <c r="L98">
        <v>3</v>
      </c>
      <c r="M98">
        <v>140250</v>
      </c>
      <c r="N98">
        <v>15</v>
      </c>
      <c r="O98">
        <v>24258.92</v>
      </c>
    </row>
    <row r="99" spans="1:15" x14ac:dyDescent="0.3">
      <c r="A99" t="s">
        <v>327</v>
      </c>
      <c r="B99" t="s">
        <v>328</v>
      </c>
      <c r="C99" t="s">
        <v>329</v>
      </c>
      <c r="D99" t="s">
        <v>18</v>
      </c>
      <c r="E99" t="s">
        <v>89</v>
      </c>
      <c r="F99" t="s">
        <v>20</v>
      </c>
      <c r="G99" t="s">
        <v>49</v>
      </c>
      <c r="H99" t="s">
        <v>22</v>
      </c>
      <c r="I99" t="s">
        <v>155</v>
      </c>
      <c r="J99" t="s">
        <v>156</v>
      </c>
      <c r="K99" t="s">
        <v>62</v>
      </c>
      <c r="L99">
        <v>4</v>
      </c>
      <c r="M99">
        <v>3420</v>
      </c>
      <c r="N99">
        <v>5</v>
      </c>
      <c r="O99">
        <v>464.08</v>
      </c>
    </row>
    <row r="100" spans="1:15" x14ac:dyDescent="0.3">
      <c r="A100" t="s">
        <v>330</v>
      </c>
      <c r="B100" t="s">
        <v>331</v>
      </c>
      <c r="C100" t="s">
        <v>308</v>
      </c>
      <c r="D100" t="s">
        <v>47</v>
      </c>
      <c r="E100" t="s">
        <v>56</v>
      </c>
      <c r="F100" t="s">
        <v>57</v>
      </c>
      <c r="G100" t="s">
        <v>58</v>
      </c>
      <c r="H100" t="s">
        <v>22</v>
      </c>
      <c r="I100" t="s">
        <v>155</v>
      </c>
      <c r="J100" t="s">
        <v>156</v>
      </c>
      <c r="K100" t="s">
        <v>62</v>
      </c>
      <c r="L100">
        <v>2</v>
      </c>
      <c r="M100">
        <v>700</v>
      </c>
      <c r="N100">
        <v>0</v>
      </c>
      <c r="O100">
        <v>139.72999999999999</v>
      </c>
    </row>
    <row r="101" spans="1:15" x14ac:dyDescent="0.3">
      <c r="A101" t="s">
        <v>332</v>
      </c>
      <c r="B101" t="s">
        <v>333</v>
      </c>
      <c r="C101" t="s">
        <v>334</v>
      </c>
      <c r="D101" t="s">
        <v>55</v>
      </c>
      <c r="E101" t="s">
        <v>30</v>
      </c>
      <c r="F101" t="s">
        <v>31</v>
      </c>
      <c r="G101" t="s">
        <v>32</v>
      </c>
      <c r="H101" t="s">
        <v>33</v>
      </c>
      <c r="I101" t="s">
        <v>34</v>
      </c>
      <c r="J101" t="s">
        <v>35</v>
      </c>
      <c r="K101" t="s">
        <v>25</v>
      </c>
      <c r="L101">
        <v>2</v>
      </c>
      <c r="M101">
        <v>11700</v>
      </c>
      <c r="N101">
        <v>10</v>
      </c>
      <c r="O101">
        <v>2261.9499999999998</v>
      </c>
    </row>
    <row r="102" spans="1:15" x14ac:dyDescent="0.3">
      <c r="A102" t="s">
        <v>335</v>
      </c>
      <c r="B102" t="s">
        <v>336</v>
      </c>
      <c r="C102" t="s">
        <v>159</v>
      </c>
      <c r="D102" t="s">
        <v>29</v>
      </c>
      <c r="E102" t="s">
        <v>66</v>
      </c>
      <c r="F102" t="s">
        <v>20</v>
      </c>
      <c r="G102" t="s">
        <v>67</v>
      </c>
      <c r="H102" t="s">
        <v>33</v>
      </c>
      <c r="I102" t="s">
        <v>34</v>
      </c>
      <c r="J102" t="s">
        <v>35</v>
      </c>
      <c r="K102" t="s">
        <v>43</v>
      </c>
      <c r="L102">
        <v>3</v>
      </c>
      <c r="M102">
        <v>32400</v>
      </c>
      <c r="N102">
        <v>10</v>
      </c>
      <c r="O102">
        <v>3485.68</v>
      </c>
    </row>
    <row r="103" spans="1:15" x14ac:dyDescent="0.3">
      <c r="A103" t="s">
        <v>337</v>
      </c>
      <c r="B103" t="s">
        <v>245</v>
      </c>
      <c r="C103" t="s">
        <v>338</v>
      </c>
      <c r="D103" t="s">
        <v>80</v>
      </c>
      <c r="E103" t="s">
        <v>19</v>
      </c>
      <c r="F103" t="s">
        <v>20</v>
      </c>
      <c r="G103" t="s">
        <v>21</v>
      </c>
      <c r="H103" t="s">
        <v>33</v>
      </c>
      <c r="I103" t="s">
        <v>68</v>
      </c>
      <c r="J103" t="s">
        <v>69</v>
      </c>
      <c r="K103" t="s">
        <v>62</v>
      </c>
      <c r="L103">
        <v>4</v>
      </c>
      <c r="M103">
        <v>198000</v>
      </c>
      <c r="N103">
        <v>10</v>
      </c>
      <c r="O103">
        <v>20332.25</v>
      </c>
    </row>
    <row r="104" spans="1:15" x14ac:dyDescent="0.3">
      <c r="A104" t="s">
        <v>339</v>
      </c>
      <c r="B104" t="s">
        <v>340</v>
      </c>
      <c r="C104" t="s">
        <v>341</v>
      </c>
      <c r="D104" t="s">
        <v>18</v>
      </c>
      <c r="E104" t="s">
        <v>19</v>
      </c>
      <c r="F104" t="s">
        <v>20</v>
      </c>
      <c r="G104" t="s">
        <v>21</v>
      </c>
      <c r="H104" t="s">
        <v>33</v>
      </c>
      <c r="I104" t="s">
        <v>68</v>
      </c>
      <c r="J104" t="s">
        <v>133</v>
      </c>
      <c r="K104" t="s">
        <v>25</v>
      </c>
      <c r="L104">
        <v>4</v>
      </c>
      <c r="M104">
        <v>176000</v>
      </c>
      <c r="N104">
        <v>20</v>
      </c>
      <c r="O104">
        <v>33516.910000000003</v>
      </c>
    </row>
    <row r="105" spans="1:15" x14ac:dyDescent="0.3">
      <c r="A105" t="s">
        <v>342</v>
      </c>
      <c r="B105" t="s">
        <v>262</v>
      </c>
      <c r="C105" t="s">
        <v>343</v>
      </c>
      <c r="D105" t="s">
        <v>29</v>
      </c>
      <c r="E105" t="s">
        <v>89</v>
      </c>
      <c r="F105" t="s">
        <v>20</v>
      </c>
      <c r="G105" t="s">
        <v>49</v>
      </c>
      <c r="H105" t="s">
        <v>59</v>
      </c>
      <c r="I105" t="s">
        <v>60</v>
      </c>
      <c r="J105" t="s">
        <v>61</v>
      </c>
      <c r="K105" t="s">
        <v>25</v>
      </c>
      <c r="L105">
        <v>3</v>
      </c>
      <c r="M105">
        <v>2295</v>
      </c>
      <c r="N105">
        <v>15</v>
      </c>
      <c r="O105">
        <v>338.16</v>
      </c>
    </row>
    <row r="106" spans="1:15" x14ac:dyDescent="0.3">
      <c r="A106" t="s">
        <v>344</v>
      </c>
      <c r="B106" t="s">
        <v>173</v>
      </c>
      <c r="C106" t="s">
        <v>345</v>
      </c>
      <c r="D106" t="s">
        <v>29</v>
      </c>
      <c r="E106" t="s">
        <v>89</v>
      </c>
      <c r="F106" t="s">
        <v>20</v>
      </c>
      <c r="G106" t="s">
        <v>49</v>
      </c>
      <c r="H106" t="s">
        <v>40</v>
      </c>
      <c r="I106" t="s">
        <v>41</v>
      </c>
      <c r="J106" t="s">
        <v>42</v>
      </c>
      <c r="K106" t="s">
        <v>81</v>
      </c>
      <c r="L106">
        <v>5</v>
      </c>
      <c r="M106">
        <v>4275</v>
      </c>
      <c r="N106">
        <v>5</v>
      </c>
      <c r="O106">
        <v>478.4</v>
      </c>
    </row>
    <row r="107" spans="1:15" x14ac:dyDescent="0.3">
      <c r="A107" t="s">
        <v>346</v>
      </c>
      <c r="B107" t="s">
        <v>347</v>
      </c>
      <c r="C107" t="s">
        <v>123</v>
      </c>
      <c r="D107" t="s">
        <v>29</v>
      </c>
      <c r="E107" t="s">
        <v>66</v>
      </c>
      <c r="F107" t="s">
        <v>20</v>
      </c>
      <c r="G107" t="s">
        <v>67</v>
      </c>
      <c r="H107" t="s">
        <v>40</v>
      </c>
      <c r="I107" t="s">
        <v>41</v>
      </c>
      <c r="J107" t="s">
        <v>42</v>
      </c>
      <c r="K107" t="s">
        <v>43</v>
      </c>
      <c r="L107">
        <v>2</v>
      </c>
      <c r="M107">
        <v>19200</v>
      </c>
      <c r="N107">
        <v>20</v>
      </c>
      <c r="O107">
        <v>3410.28</v>
      </c>
    </row>
    <row r="108" spans="1:15" x14ac:dyDescent="0.3">
      <c r="A108" t="s">
        <v>348</v>
      </c>
      <c r="B108" t="s">
        <v>17</v>
      </c>
      <c r="C108" t="s">
        <v>324</v>
      </c>
      <c r="D108" t="s">
        <v>29</v>
      </c>
      <c r="E108" t="s">
        <v>106</v>
      </c>
      <c r="F108" t="s">
        <v>20</v>
      </c>
      <c r="G108" t="s">
        <v>49</v>
      </c>
      <c r="H108" t="s">
        <v>22</v>
      </c>
      <c r="I108" t="s">
        <v>23</v>
      </c>
      <c r="J108" t="s">
        <v>24</v>
      </c>
      <c r="K108" t="s">
        <v>43</v>
      </c>
      <c r="L108">
        <v>5</v>
      </c>
      <c r="M108">
        <v>8800</v>
      </c>
      <c r="N108">
        <v>20</v>
      </c>
      <c r="O108">
        <v>1716.03</v>
      </c>
    </row>
    <row r="109" spans="1:15" x14ac:dyDescent="0.3">
      <c r="A109" t="s">
        <v>349</v>
      </c>
      <c r="B109" t="s">
        <v>91</v>
      </c>
      <c r="C109" t="s">
        <v>145</v>
      </c>
      <c r="D109" t="s">
        <v>102</v>
      </c>
      <c r="E109" t="s">
        <v>48</v>
      </c>
      <c r="F109" t="s">
        <v>20</v>
      </c>
      <c r="G109" t="s">
        <v>49</v>
      </c>
      <c r="H109" t="s">
        <v>40</v>
      </c>
      <c r="I109" t="s">
        <v>50</v>
      </c>
      <c r="J109" t="s">
        <v>51</v>
      </c>
      <c r="K109" t="s">
        <v>62</v>
      </c>
      <c r="L109">
        <v>3</v>
      </c>
      <c r="M109">
        <v>3600</v>
      </c>
      <c r="N109">
        <v>20</v>
      </c>
      <c r="O109">
        <v>777.81</v>
      </c>
    </row>
    <row r="110" spans="1:15" x14ac:dyDescent="0.3">
      <c r="A110" t="s">
        <v>350</v>
      </c>
      <c r="B110" t="s">
        <v>252</v>
      </c>
      <c r="C110" t="s">
        <v>126</v>
      </c>
      <c r="D110" t="s">
        <v>85</v>
      </c>
      <c r="E110" t="s">
        <v>19</v>
      </c>
      <c r="F110" t="s">
        <v>20</v>
      </c>
      <c r="G110" t="s">
        <v>21</v>
      </c>
      <c r="H110" t="s">
        <v>40</v>
      </c>
      <c r="I110" t="s">
        <v>41</v>
      </c>
      <c r="J110" t="s">
        <v>42</v>
      </c>
      <c r="K110" t="s">
        <v>62</v>
      </c>
      <c r="L110">
        <v>1</v>
      </c>
      <c r="M110">
        <v>46750</v>
      </c>
      <c r="N110">
        <v>15</v>
      </c>
      <c r="O110">
        <v>4607.83</v>
      </c>
    </row>
    <row r="111" spans="1:15" x14ac:dyDescent="0.3">
      <c r="A111" t="s">
        <v>351</v>
      </c>
      <c r="B111" t="s">
        <v>334</v>
      </c>
      <c r="C111" t="s">
        <v>352</v>
      </c>
      <c r="D111" t="s">
        <v>29</v>
      </c>
      <c r="E111" t="s">
        <v>30</v>
      </c>
      <c r="F111" t="s">
        <v>31</v>
      </c>
      <c r="G111" t="s">
        <v>32</v>
      </c>
      <c r="H111" t="s">
        <v>33</v>
      </c>
      <c r="I111" t="s">
        <v>68</v>
      </c>
      <c r="J111" t="s">
        <v>133</v>
      </c>
      <c r="K111" t="s">
        <v>25</v>
      </c>
      <c r="L111">
        <v>5</v>
      </c>
      <c r="M111">
        <v>29250</v>
      </c>
      <c r="N111">
        <v>10</v>
      </c>
      <c r="O111">
        <v>3378.67</v>
      </c>
    </row>
    <row r="112" spans="1:15" x14ac:dyDescent="0.3">
      <c r="A112" t="s">
        <v>353</v>
      </c>
      <c r="B112" t="s">
        <v>265</v>
      </c>
      <c r="C112" t="s">
        <v>333</v>
      </c>
      <c r="D112" t="s">
        <v>73</v>
      </c>
      <c r="E112" t="s">
        <v>30</v>
      </c>
      <c r="F112" t="s">
        <v>31</v>
      </c>
      <c r="G112" t="s">
        <v>32</v>
      </c>
      <c r="H112" t="s">
        <v>22</v>
      </c>
      <c r="I112" t="s">
        <v>23</v>
      </c>
      <c r="J112" t="s">
        <v>24</v>
      </c>
      <c r="K112" t="s">
        <v>62</v>
      </c>
      <c r="L112">
        <v>4</v>
      </c>
      <c r="M112">
        <v>23400</v>
      </c>
      <c r="N112">
        <v>10</v>
      </c>
      <c r="O112">
        <v>4566.01</v>
      </c>
    </row>
    <row r="113" spans="1:15" x14ac:dyDescent="0.3">
      <c r="A113" t="s">
        <v>354</v>
      </c>
      <c r="B113" t="s">
        <v>355</v>
      </c>
      <c r="C113" t="s">
        <v>338</v>
      </c>
      <c r="D113" t="s">
        <v>47</v>
      </c>
      <c r="E113" t="s">
        <v>66</v>
      </c>
      <c r="F113" t="s">
        <v>20</v>
      </c>
      <c r="G113" t="s">
        <v>67</v>
      </c>
      <c r="H113" t="s">
        <v>33</v>
      </c>
      <c r="I113" t="s">
        <v>68</v>
      </c>
      <c r="J113" t="s">
        <v>133</v>
      </c>
      <c r="K113" t="s">
        <v>81</v>
      </c>
      <c r="L113">
        <v>4</v>
      </c>
      <c r="M113">
        <v>48000</v>
      </c>
      <c r="N113">
        <v>0</v>
      </c>
      <c r="O113">
        <v>8222.2800000000007</v>
      </c>
    </row>
    <row r="114" spans="1:15" x14ac:dyDescent="0.3">
      <c r="A114" t="s">
        <v>356</v>
      </c>
      <c r="B114" t="s">
        <v>197</v>
      </c>
      <c r="C114" t="s">
        <v>162</v>
      </c>
      <c r="D114" t="s">
        <v>80</v>
      </c>
      <c r="E114" t="s">
        <v>48</v>
      </c>
      <c r="F114" t="s">
        <v>20</v>
      </c>
      <c r="G114" t="s">
        <v>49</v>
      </c>
      <c r="H114" t="s">
        <v>40</v>
      </c>
      <c r="I114" t="s">
        <v>50</v>
      </c>
      <c r="J114" t="s">
        <v>51</v>
      </c>
      <c r="K114" t="s">
        <v>43</v>
      </c>
      <c r="L114">
        <v>4</v>
      </c>
      <c r="M114">
        <v>5400</v>
      </c>
      <c r="N114">
        <v>10</v>
      </c>
      <c r="O114">
        <v>1022.06</v>
      </c>
    </row>
    <row r="115" spans="1:15" x14ac:dyDescent="0.3">
      <c r="A115" t="s">
        <v>357</v>
      </c>
      <c r="B115" t="s">
        <v>358</v>
      </c>
      <c r="C115" t="s">
        <v>250</v>
      </c>
      <c r="D115" t="s">
        <v>98</v>
      </c>
      <c r="E115" t="s">
        <v>30</v>
      </c>
      <c r="F115" t="s">
        <v>31</v>
      </c>
      <c r="G115" t="s">
        <v>32</v>
      </c>
      <c r="H115" t="s">
        <v>33</v>
      </c>
      <c r="I115" t="s">
        <v>68</v>
      </c>
      <c r="J115" t="s">
        <v>69</v>
      </c>
      <c r="K115" t="s">
        <v>81</v>
      </c>
      <c r="L115">
        <v>1</v>
      </c>
      <c r="M115">
        <v>6175</v>
      </c>
      <c r="N115">
        <v>5</v>
      </c>
      <c r="O115">
        <v>910.11</v>
      </c>
    </row>
    <row r="116" spans="1:15" x14ac:dyDescent="0.3">
      <c r="A116" t="s">
        <v>359</v>
      </c>
      <c r="B116" t="s">
        <v>201</v>
      </c>
      <c r="C116" t="s">
        <v>360</v>
      </c>
      <c r="D116" t="s">
        <v>55</v>
      </c>
      <c r="E116" t="s">
        <v>113</v>
      </c>
      <c r="F116" t="s">
        <v>114</v>
      </c>
      <c r="G116" t="s">
        <v>115</v>
      </c>
      <c r="H116" t="s">
        <v>22</v>
      </c>
      <c r="I116" t="s">
        <v>23</v>
      </c>
      <c r="J116" t="s">
        <v>24</v>
      </c>
      <c r="K116" t="s">
        <v>25</v>
      </c>
      <c r="L116">
        <v>2</v>
      </c>
      <c r="M116">
        <v>3060</v>
      </c>
      <c r="N116">
        <v>15</v>
      </c>
      <c r="O116">
        <v>498.02</v>
      </c>
    </row>
    <row r="117" spans="1:15" x14ac:dyDescent="0.3">
      <c r="A117" t="s">
        <v>361</v>
      </c>
      <c r="B117" t="s">
        <v>211</v>
      </c>
      <c r="C117" t="s">
        <v>212</v>
      </c>
      <c r="D117" t="s">
        <v>102</v>
      </c>
      <c r="E117" t="s">
        <v>30</v>
      </c>
      <c r="F117" t="s">
        <v>31</v>
      </c>
      <c r="G117" t="s">
        <v>32</v>
      </c>
      <c r="H117" t="s">
        <v>33</v>
      </c>
      <c r="I117" t="s">
        <v>68</v>
      </c>
      <c r="J117" t="s">
        <v>69</v>
      </c>
      <c r="K117" t="s">
        <v>43</v>
      </c>
      <c r="L117">
        <v>4</v>
      </c>
      <c r="M117">
        <v>24700</v>
      </c>
      <c r="N117">
        <v>5</v>
      </c>
      <c r="O117">
        <v>5349.91</v>
      </c>
    </row>
    <row r="118" spans="1:15" x14ac:dyDescent="0.3">
      <c r="A118" t="s">
        <v>362</v>
      </c>
      <c r="B118" t="s">
        <v>153</v>
      </c>
      <c r="C118" t="s">
        <v>217</v>
      </c>
      <c r="D118" t="s">
        <v>29</v>
      </c>
      <c r="E118" t="s">
        <v>113</v>
      </c>
      <c r="F118" t="s">
        <v>114</v>
      </c>
      <c r="G118" t="s">
        <v>115</v>
      </c>
      <c r="H118" t="s">
        <v>22</v>
      </c>
      <c r="I118" t="s">
        <v>155</v>
      </c>
      <c r="J118" t="s">
        <v>156</v>
      </c>
      <c r="K118" t="s">
        <v>43</v>
      </c>
      <c r="L118">
        <v>2</v>
      </c>
      <c r="M118">
        <v>3060</v>
      </c>
      <c r="N118">
        <v>15</v>
      </c>
      <c r="O118">
        <v>260.27</v>
      </c>
    </row>
    <row r="119" spans="1:15" x14ac:dyDescent="0.3">
      <c r="A119" t="s">
        <v>363</v>
      </c>
      <c r="B119" t="s">
        <v>364</v>
      </c>
      <c r="C119" t="s">
        <v>365</v>
      </c>
      <c r="D119" t="s">
        <v>29</v>
      </c>
      <c r="E119" t="s">
        <v>106</v>
      </c>
      <c r="F119" t="s">
        <v>20</v>
      </c>
      <c r="G119" t="s">
        <v>49</v>
      </c>
      <c r="H119" t="s">
        <v>59</v>
      </c>
      <c r="I119" t="s">
        <v>93</v>
      </c>
      <c r="J119" t="s">
        <v>94</v>
      </c>
      <c r="K119" t="s">
        <v>43</v>
      </c>
      <c r="L119">
        <v>5</v>
      </c>
      <c r="M119">
        <v>9900</v>
      </c>
      <c r="N119">
        <v>10</v>
      </c>
      <c r="O119">
        <v>1917.17</v>
      </c>
    </row>
    <row r="120" spans="1:15" x14ac:dyDescent="0.3">
      <c r="A120" t="s">
        <v>366</v>
      </c>
      <c r="B120" t="s">
        <v>277</v>
      </c>
      <c r="C120" t="s">
        <v>235</v>
      </c>
      <c r="D120" t="s">
        <v>80</v>
      </c>
      <c r="E120" t="s">
        <v>89</v>
      </c>
      <c r="F120" t="s">
        <v>20</v>
      </c>
      <c r="G120" t="s">
        <v>49</v>
      </c>
      <c r="H120" t="s">
        <v>33</v>
      </c>
      <c r="I120" t="s">
        <v>34</v>
      </c>
      <c r="J120" t="s">
        <v>35</v>
      </c>
      <c r="K120" t="s">
        <v>81</v>
      </c>
      <c r="L120">
        <v>3</v>
      </c>
      <c r="M120">
        <v>2160</v>
      </c>
      <c r="N120">
        <v>20</v>
      </c>
      <c r="O120">
        <v>321.92</v>
      </c>
    </row>
    <row r="121" spans="1:15" x14ac:dyDescent="0.3">
      <c r="A121" t="s">
        <v>367</v>
      </c>
      <c r="B121" t="s">
        <v>64</v>
      </c>
      <c r="C121" t="s">
        <v>368</v>
      </c>
      <c r="D121" t="s">
        <v>98</v>
      </c>
      <c r="E121" t="s">
        <v>119</v>
      </c>
      <c r="F121" t="s">
        <v>31</v>
      </c>
      <c r="G121" t="s">
        <v>120</v>
      </c>
      <c r="H121" t="s">
        <v>40</v>
      </c>
      <c r="I121" t="s">
        <v>50</v>
      </c>
      <c r="J121" t="s">
        <v>51</v>
      </c>
      <c r="K121" t="s">
        <v>81</v>
      </c>
      <c r="L121">
        <v>4</v>
      </c>
      <c r="M121">
        <v>28900</v>
      </c>
      <c r="N121">
        <v>15</v>
      </c>
      <c r="O121">
        <v>3603.5</v>
      </c>
    </row>
    <row r="122" spans="1:15" x14ac:dyDescent="0.3">
      <c r="A122" t="s">
        <v>369</v>
      </c>
      <c r="B122" t="s">
        <v>150</v>
      </c>
      <c r="C122" t="s">
        <v>370</v>
      </c>
      <c r="D122" t="s">
        <v>98</v>
      </c>
      <c r="E122" t="s">
        <v>30</v>
      </c>
      <c r="F122" t="s">
        <v>31</v>
      </c>
      <c r="G122" t="s">
        <v>32</v>
      </c>
      <c r="H122" t="s">
        <v>33</v>
      </c>
      <c r="I122" t="s">
        <v>68</v>
      </c>
      <c r="J122" t="s">
        <v>69</v>
      </c>
      <c r="K122" t="s">
        <v>25</v>
      </c>
      <c r="L122">
        <v>4</v>
      </c>
      <c r="M122">
        <v>22100</v>
      </c>
      <c r="N122">
        <v>15</v>
      </c>
      <c r="O122">
        <v>4005.68</v>
      </c>
    </row>
    <row r="123" spans="1:15" x14ac:dyDescent="0.3">
      <c r="A123" t="s">
        <v>371</v>
      </c>
      <c r="B123" t="s">
        <v>372</v>
      </c>
      <c r="C123" t="s">
        <v>167</v>
      </c>
      <c r="D123" t="s">
        <v>102</v>
      </c>
      <c r="E123" t="s">
        <v>48</v>
      </c>
      <c r="F123" t="s">
        <v>20</v>
      </c>
      <c r="G123" t="s">
        <v>49</v>
      </c>
      <c r="H123" t="s">
        <v>33</v>
      </c>
      <c r="I123" t="s">
        <v>68</v>
      </c>
      <c r="J123" t="s">
        <v>133</v>
      </c>
      <c r="K123" t="s">
        <v>25</v>
      </c>
      <c r="L123">
        <v>1</v>
      </c>
      <c r="M123">
        <v>1425</v>
      </c>
      <c r="N123">
        <v>5</v>
      </c>
      <c r="O123">
        <v>213.6</v>
      </c>
    </row>
    <row r="124" spans="1:15" x14ac:dyDescent="0.3">
      <c r="A124" t="s">
        <v>373</v>
      </c>
      <c r="B124" t="s">
        <v>374</v>
      </c>
      <c r="C124" t="s">
        <v>375</v>
      </c>
      <c r="D124" t="s">
        <v>47</v>
      </c>
      <c r="E124" t="s">
        <v>119</v>
      </c>
      <c r="F124" t="s">
        <v>31</v>
      </c>
      <c r="G124" t="s">
        <v>120</v>
      </c>
      <c r="H124" t="s">
        <v>40</v>
      </c>
      <c r="I124" t="s">
        <v>41</v>
      </c>
      <c r="J124" t="s">
        <v>42</v>
      </c>
      <c r="K124" t="s">
        <v>62</v>
      </c>
      <c r="L124">
        <v>4</v>
      </c>
      <c r="M124">
        <v>30600</v>
      </c>
      <c r="N124">
        <v>10</v>
      </c>
      <c r="O124">
        <v>4282.68</v>
      </c>
    </row>
    <row r="125" spans="1:15" x14ac:dyDescent="0.3">
      <c r="A125" t="s">
        <v>376</v>
      </c>
      <c r="B125" t="s">
        <v>377</v>
      </c>
      <c r="C125" t="s">
        <v>378</v>
      </c>
      <c r="D125" t="s">
        <v>102</v>
      </c>
      <c r="E125" t="s">
        <v>56</v>
      </c>
      <c r="F125" t="s">
        <v>57</v>
      </c>
      <c r="G125" t="s">
        <v>58</v>
      </c>
      <c r="H125" t="s">
        <v>40</v>
      </c>
      <c r="I125" t="s">
        <v>41</v>
      </c>
      <c r="J125" t="s">
        <v>42</v>
      </c>
      <c r="K125" t="s">
        <v>25</v>
      </c>
      <c r="L125">
        <v>1</v>
      </c>
      <c r="M125">
        <v>280</v>
      </c>
      <c r="N125">
        <v>20</v>
      </c>
      <c r="O125">
        <v>29.68</v>
      </c>
    </row>
    <row r="126" spans="1:15" x14ac:dyDescent="0.3">
      <c r="A126" t="s">
        <v>379</v>
      </c>
      <c r="B126" t="s">
        <v>311</v>
      </c>
      <c r="C126" t="s">
        <v>312</v>
      </c>
      <c r="D126" t="s">
        <v>47</v>
      </c>
      <c r="E126" t="s">
        <v>19</v>
      </c>
      <c r="F126" t="s">
        <v>20</v>
      </c>
      <c r="G126" t="s">
        <v>21</v>
      </c>
      <c r="H126" t="s">
        <v>22</v>
      </c>
      <c r="I126" t="s">
        <v>155</v>
      </c>
      <c r="J126" t="s">
        <v>156</v>
      </c>
      <c r="K126" t="s">
        <v>81</v>
      </c>
      <c r="L126">
        <v>1</v>
      </c>
      <c r="M126">
        <v>46750</v>
      </c>
      <c r="N126">
        <v>15</v>
      </c>
      <c r="O126">
        <v>8640.3700000000008</v>
      </c>
    </row>
    <row r="127" spans="1:15" x14ac:dyDescent="0.3">
      <c r="A127" t="s">
        <v>380</v>
      </c>
      <c r="B127" t="s">
        <v>381</v>
      </c>
      <c r="C127" t="s">
        <v>382</v>
      </c>
      <c r="D127" t="s">
        <v>47</v>
      </c>
      <c r="E127" t="s">
        <v>89</v>
      </c>
      <c r="F127" t="s">
        <v>20</v>
      </c>
      <c r="G127" t="s">
        <v>49</v>
      </c>
      <c r="H127" t="s">
        <v>40</v>
      </c>
      <c r="I127" t="s">
        <v>41</v>
      </c>
      <c r="J127" t="s">
        <v>42</v>
      </c>
      <c r="K127" t="s">
        <v>25</v>
      </c>
      <c r="L127">
        <v>2</v>
      </c>
      <c r="M127">
        <v>1530</v>
      </c>
      <c r="N127">
        <v>15</v>
      </c>
      <c r="O127">
        <v>130.07</v>
      </c>
    </row>
    <row r="128" spans="1:15" x14ac:dyDescent="0.3">
      <c r="A128" t="s">
        <v>383</v>
      </c>
      <c r="B128" t="s">
        <v>195</v>
      </c>
      <c r="C128" t="s">
        <v>71</v>
      </c>
      <c r="D128" t="s">
        <v>55</v>
      </c>
      <c r="E128" t="s">
        <v>113</v>
      </c>
      <c r="F128" t="s">
        <v>114</v>
      </c>
      <c r="G128" t="s">
        <v>115</v>
      </c>
      <c r="H128" t="s">
        <v>22</v>
      </c>
      <c r="I128" t="s">
        <v>155</v>
      </c>
      <c r="J128" t="s">
        <v>156</v>
      </c>
      <c r="K128" t="s">
        <v>25</v>
      </c>
      <c r="L128">
        <v>3</v>
      </c>
      <c r="M128">
        <v>4320</v>
      </c>
      <c r="N128">
        <v>20</v>
      </c>
      <c r="O128">
        <v>782.33</v>
      </c>
    </row>
    <row r="129" spans="1:15" x14ac:dyDescent="0.3">
      <c r="A129" t="s">
        <v>384</v>
      </c>
      <c r="B129" t="s">
        <v>385</v>
      </c>
      <c r="C129" t="s">
        <v>200</v>
      </c>
      <c r="D129" t="s">
        <v>18</v>
      </c>
      <c r="E129" t="s">
        <v>56</v>
      </c>
      <c r="F129" t="s">
        <v>57</v>
      </c>
      <c r="G129" t="s">
        <v>58</v>
      </c>
      <c r="H129" t="s">
        <v>40</v>
      </c>
      <c r="I129" t="s">
        <v>50</v>
      </c>
      <c r="J129" t="s">
        <v>51</v>
      </c>
      <c r="K129" t="s">
        <v>43</v>
      </c>
      <c r="L129">
        <v>5</v>
      </c>
      <c r="M129">
        <v>1487.5</v>
      </c>
      <c r="N129">
        <v>15</v>
      </c>
      <c r="O129">
        <v>233.84</v>
      </c>
    </row>
    <row r="130" spans="1:15" x14ac:dyDescent="0.3">
      <c r="A130" t="s">
        <v>386</v>
      </c>
      <c r="B130" t="s">
        <v>206</v>
      </c>
      <c r="C130" t="s">
        <v>203</v>
      </c>
      <c r="D130" t="s">
        <v>29</v>
      </c>
      <c r="E130" t="s">
        <v>89</v>
      </c>
      <c r="F130" t="s">
        <v>20</v>
      </c>
      <c r="G130" t="s">
        <v>49</v>
      </c>
      <c r="H130" t="s">
        <v>22</v>
      </c>
      <c r="I130" t="s">
        <v>23</v>
      </c>
      <c r="J130" t="s">
        <v>24</v>
      </c>
      <c r="K130" t="s">
        <v>43</v>
      </c>
      <c r="L130">
        <v>4</v>
      </c>
      <c r="M130">
        <v>3240</v>
      </c>
      <c r="N130">
        <v>10</v>
      </c>
      <c r="O130">
        <v>339.97</v>
      </c>
    </row>
    <row r="131" spans="1:15" x14ac:dyDescent="0.3">
      <c r="A131" t="s">
        <v>387</v>
      </c>
      <c r="B131" t="s">
        <v>97</v>
      </c>
      <c r="C131" t="s">
        <v>104</v>
      </c>
      <c r="D131" t="s">
        <v>102</v>
      </c>
      <c r="E131" t="s">
        <v>106</v>
      </c>
      <c r="F131" t="s">
        <v>20</v>
      </c>
      <c r="G131" t="s">
        <v>49</v>
      </c>
      <c r="H131" t="s">
        <v>33</v>
      </c>
      <c r="I131" t="s">
        <v>68</v>
      </c>
      <c r="J131" t="s">
        <v>133</v>
      </c>
      <c r="K131" t="s">
        <v>25</v>
      </c>
      <c r="L131">
        <v>4</v>
      </c>
      <c r="M131">
        <v>7920</v>
      </c>
      <c r="N131">
        <v>10</v>
      </c>
      <c r="O131">
        <v>1028.3699999999999</v>
      </c>
    </row>
    <row r="132" spans="1:15" x14ac:dyDescent="0.3">
      <c r="A132" t="s">
        <v>388</v>
      </c>
      <c r="B132" t="s">
        <v>389</v>
      </c>
      <c r="C132" t="s">
        <v>378</v>
      </c>
      <c r="D132" t="s">
        <v>55</v>
      </c>
      <c r="E132" t="s">
        <v>106</v>
      </c>
      <c r="F132" t="s">
        <v>20</v>
      </c>
      <c r="G132" t="s">
        <v>49</v>
      </c>
      <c r="H132" t="s">
        <v>22</v>
      </c>
      <c r="I132" t="s">
        <v>23</v>
      </c>
      <c r="J132" t="s">
        <v>24</v>
      </c>
      <c r="K132" t="s">
        <v>43</v>
      </c>
      <c r="L132">
        <v>5</v>
      </c>
      <c r="M132">
        <v>9350</v>
      </c>
      <c r="N132">
        <v>15</v>
      </c>
      <c r="O132">
        <v>1517.74</v>
      </c>
    </row>
    <row r="133" spans="1:15" x14ac:dyDescent="0.3">
      <c r="A133" t="s">
        <v>390</v>
      </c>
      <c r="B133" t="s">
        <v>159</v>
      </c>
      <c r="C133" t="s">
        <v>377</v>
      </c>
      <c r="D133" t="s">
        <v>85</v>
      </c>
      <c r="E133" t="s">
        <v>66</v>
      </c>
      <c r="F133" t="s">
        <v>20</v>
      </c>
      <c r="G133" t="s">
        <v>67</v>
      </c>
      <c r="H133" t="s">
        <v>59</v>
      </c>
      <c r="I133" t="s">
        <v>93</v>
      </c>
      <c r="J133" t="s">
        <v>94</v>
      </c>
      <c r="K133" t="s">
        <v>62</v>
      </c>
      <c r="L133">
        <v>4</v>
      </c>
      <c r="M133">
        <v>43200</v>
      </c>
      <c r="N133">
        <v>10</v>
      </c>
      <c r="O133">
        <v>4671.3599999999997</v>
      </c>
    </row>
    <row r="134" spans="1:15" x14ac:dyDescent="0.3">
      <c r="A134" t="s">
        <v>391</v>
      </c>
      <c r="B134" t="s">
        <v>211</v>
      </c>
      <c r="C134" t="s">
        <v>372</v>
      </c>
      <c r="D134" t="s">
        <v>29</v>
      </c>
      <c r="E134" t="s">
        <v>119</v>
      </c>
      <c r="F134" t="s">
        <v>31</v>
      </c>
      <c r="G134" t="s">
        <v>120</v>
      </c>
      <c r="H134" t="s">
        <v>59</v>
      </c>
      <c r="I134" t="s">
        <v>60</v>
      </c>
      <c r="J134" t="s">
        <v>61</v>
      </c>
      <c r="K134" t="s">
        <v>81</v>
      </c>
      <c r="L134">
        <v>3</v>
      </c>
      <c r="M134">
        <v>25500</v>
      </c>
      <c r="N134">
        <v>0</v>
      </c>
      <c r="O134">
        <v>2660.76</v>
      </c>
    </row>
    <row r="135" spans="1:15" x14ac:dyDescent="0.3">
      <c r="A135" t="s">
        <v>392</v>
      </c>
      <c r="B135" t="s">
        <v>16</v>
      </c>
      <c r="C135" t="s">
        <v>220</v>
      </c>
      <c r="D135" t="s">
        <v>102</v>
      </c>
      <c r="E135" t="s">
        <v>19</v>
      </c>
      <c r="F135" t="s">
        <v>20</v>
      </c>
      <c r="G135" t="s">
        <v>21</v>
      </c>
      <c r="H135" t="s">
        <v>59</v>
      </c>
      <c r="I135" t="s">
        <v>93</v>
      </c>
      <c r="J135" t="s">
        <v>94</v>
      </c>
      <c r="K135" t="s">
        <v>25</v>
      </c>
      <c r="L135">
        <v>5</v>
      </c>
      <c r="M135">
        <v>275000</v>
      </c>
      <c r="N135">
        <v>0</v>
      </c>
      <c r="O135">
        <v>24600.45</v>
      </c>
    </row>
    <row r="136" spans="1:15" x14ac:dyDescent="0.3">
      <c r="A136" t="s">
        <v>393</v>
      </c>
      <c r="B136" t="s">
        <v>394</v>
      </c>
      <c r="C136" t="s">
        <v>167</v>
      </c>
      <c r="D136" t="s">
        <v>47</v>
      </c>
      <c r="E136" t="s">
        <v>130</v>
      </c>
      <c r="F136" t="s">
        <v>131</v>
      </c>
      <c r="G136" t="s">
        <v>132</v>
      </c>
      <c r="H136" t="s">
        <v>22</v>
      </c>
      <c r="I136" t="s">
        <v>23</v>
      </c>
      <c r="J136" t="s">
        <v>24</v>
      </c>
      <c r="K136" t="s">
        <v>43</v>
      </c>
      <c r="L136">
        <v>3</v>
      </c>
      <c r="M136">
        <v>1350</v>
      </c>
      <c r="N136">
        <v>0</v>
      </c>
      <c r="O136">
        <v>242.73</v>
      </c>
    </row>
    <row r="137" spans="1:15" x14ac:dyDescent="0.3">
      <c r="A137" t="s">
        <v>395</v>
      </c>
      <c r="B137" t="s">
        <v>396</v>
      </c>
      <c r="C137" t="s">
        <v>144</v>
      </c>
      <c r="D137" t="s">
        <v>102</v>
      </c>
      <c r="E137" t="s">
        <v>119</v>
      </c>
      <c r="F137" t="s">
        <v>31</v>
      </c>
      <c r="G137" t="s">
        <v>120</v>
      </c>
      <c r="H137" t="s">
        <v>22</v>
      </c>
      <c r="I137" t="s">
        <v>155</v>
      </c>
      <c r="J137" t="s">
        <v>156</v>
      </c>
      <c r="K137" t="s">
        <v>43</v>
      </c>
      <c r="L137">
        <v>2</v>
      </c>
      <c r="M137">
        <v>15300</v>
      </c>
      <c r="N137">
        <v>10</v>
      </c>
      <c r="O137">
        <v>1279.08</v>
      </c>
    </row>
    <row r="138" spans="1:15" x14ac:dyDescent="0.3">
      <c r="A138" t="s">
        <v>397</v>
      </c>
      <c r="B138" t="s">
        <v>398</v>
      </c>
      <c r="C138" t="s">
        <v>399</v>
      </c>
      <c r="D138" t="s">
        <v>29</v>
      </c>
      <c r="E138" t="s">
        <v>66</v>
      </c>
      <c r="F138" t="s">
        <v>20</v>
      </c>
      <c r="G138" t="s">
        <v>67</v>
      </c>
      <c r="H138" t="s">
        <v>33</v>
      </c>
      <c r="I138" t="s">
        <v>68</v>
      </c>
      <c r="J138" t="s">
        <v>133</v>
      </c>
      <c r="K138" t="s">
        <v>25</v>
      </c>
      <c r="L138">
        <v>4</v>
      </c>
      <c r="M138">
        <v>40800</v>
      </c>
      <c r="N138">
        <v>15</v>
      </c>
      <c r="O138">
        <v>4262.05</v>
      </c>
    </row>
    <row r="139" spans="1:15" x14ac:dyDescent="0.3">
      <c r="A139" t="s">
        <v>400</v>
      </c>
      <c r="B139" t="s">
        <v>223</v>
      </c>
      <c r="C139" t="s">
        <v>401</v>
      </c>
      <c r="D139" t="s">
        <v>73</v>
      </c>
      <c r="E139" t="s">
        <v>119</v>
      </c>
      <c r="F139" t="s">
        <v>31</v>
      </c>
      <c r="G139" t="s">
        <v>120</v>
      </c>
      <c r="H139" t="s">
        <v>59</v>
      </c>
      <c r="I139" t="s">
        <v>93</v>
      </c>
      <c r="J139" t="s">
        <v>94</v>
      </c>
      <c r="K139" t="s">
        <v>81</v>
      </c>
      <c r="L139">
        <v>2</v>
      </c>
      <c r="M139">
        <v>14450</v>
      </c>
      <c r="N139">
        <v>15</v>
      </c>
      <c r="O139">
        <v>2349.5500000000002</v>
      </c>
    </row>
    <row r="140" spans="1:15" x14ac:dyDescent="0.3">
      <c r="A140" t="s">
        <v>402</v>
      </c>
      <c r="B140" t="s">
        <v>403</v>
      </c>
      <c r="C140" t="s">
        <v>404</v>
      </c>
      <c r="D140" t="s">
        <v>18</v>
      </c>
      <c r="E140" t="s">
        <v>106</v>
      </c>
      <c r="F140" t="s">
        <v>20</v>
      </c>
      <c r="G140" t="s">
        <v>49</v>
      </c>
      <c r="H140" t="s">
        <v>22</v>
      </c>
      <c r="I140" t="s">
        <v>23</v>
      </c>
      <c r="J140" t="s">
        <v>24</v>
      </c>
      <c r="K140" t="s">
        <v>81</v>
      </c>
      <c r="L140">
        <v>1</v>
      </c>
      <c r="M140">
        <v>1870</v>
      </c>
      <c r="N140">
        <v>15</v>
      </c>
      <c r="O140">
        <v>208.91</v>
      </c>
    </row>
    <row r="141" spans="1:15" x14ac:dyDescent="0.3">
      <c r="A141" t="s">
        <v>405</v>
      </c>
      <c r="B141" t="s">
        <v>303</v>
      </c>
      <c r="C141" t="s">
        <v>406</v>
      </c>
      <c r="D141" t="s">
        <v>73</v>
      </c>
      <c r="E141" t="s">
        <v>113</v>
      </c>
      <c r="F141" t="s">
        <v>114</v>
      </c>
      <c r="G141" t="s">
        <v>115</v>
      </c>
      <c r="H141" t="s">
        <v>22</v>
      </c>
      <c r="I141" t="s">
        <v>23</v>
      </c>
      <c r="J141" t="s">
        <v>24</v>
      </c>
      <c r="K141" t="s">
        <v>25</v>
      </c>
      <c r="L141">
        <v>5</v>
      </c>
      <c r="M141">
        <v>7650</v>
      </c>
      <c r="N141">
        <v>15</v>
      </c>
      <c r="O141">
        <v>732.78</v>
      </c>
    </row>
    <row r="142" spans="1:15" x14ac:dyDescent="0.3">
      <c r="A142" t="s">
        <v>407</v>
      </c>
      <c r="B142" t="s">
        <v>408</v>
      </c>
      <c r="C142" t="s">
        <v>409</v>
      </c>
      <c r="D142" t="s">
        <v>18</v>
      </c>
      <c r="E142" t="s">
        <v>56</v>
      </c>
      <c r="F142" t="s">
        <v>57</v>
      </c>
      <c r="G142" t="s">
        <v>58</v>
      </c>
      <c r="H142" t="s">
        <v>40</v>
      </c>
      <c r="I142" t="s">
        <v>50</v>
      </c>
      <c r="J142" t="s">
        <v>51</v>
      </c>
      <c r="K142" t="s">
        <v>25</v>
      </c>
      <c r="L142">
        <v>5</v>
      </c>
      <c r="M142">
        <v>1487.5</v>
      </c>
      <c r="N142">
        <v>15</v>
      </c>
      <c r="O142">
        <v>179.91</v>
      </c>
    </row>
    <row r="143" spans="1:15" x14ac:dyDescent="0.3">
      <c r="A143" t="s">
        <v>410</v>
      </c>
      <c r="B143" t="s">
        <v>411</v>
      </c>
      <c r="C143" t="s">
        <v>206</v>
      </c>
      <c r="D143" t="s">
        <v>98</v>
      </c>
      <c r="E143" t="s">
        <v>48</v>
      </c>
      <c r="F143" t="s">
        <v>20</v>
      </c>
      <c r="G143" t="s">
        <v>49</v>
      </c>
      <c r="H143" t="s">
        <v>33</v>
      </c>
      <c r="I143" t="s">
        <v>68</v>
      </c>
      <c r="J143" t="s">
        <v>69</v>
      </c>
      <c r="K143" t="s">
        <v>43</v>
      </c>
      <c r="L143">
        <v>5</v>
      </c>
      <c r="M143">
        <v>6750</v>
      </c>
      <c r="N143">
        <v>10</v>
      </c>
      <c r="O143">
        <v>967.38</v>
      </c>
    </row>
    <row r="144" spans="1:15" x14ac:dyDescent="0.3">
      <c r="A144" t="s">
        <v>412</v>
      </c>
      <c r="B144" t="s">
        <v>413</v>
      </c>
      <c r="C144" t="s">
        <v>414</v>
      </c>
      <c r="D144" t="s">
        <v>47</v>
      </c>
      <c r="E144" t="s">
        <v>56</v>
      </c>
      <c r="F144" t="s">
        <v>57</v>
      </c>
      <c r="G144" t="s">
        <v>58</v>
      </c>
      <c r="H144" t="s">
        <v>59</v>
      </c>
      <c r="I144" t="s">
        <v>60</v>
      </c>
      <c r="J144" t="s">
        <v>61</v>
      </c>
      <c r="K144" t="s">
        <v>81</v>
      </c>
      <c r="L144">
        <v>1</v>
      </c>
      <c r="M144">
        <v>315</v>
      </c>
      <c r="N144">
        <v>10</v>
      </c>
      <c r="O144">
        <v>28.02</v>
      </c>
    </row>
    <row r="145" spans="1:15" x14ac:dyDescent="0.3">
      <c r="A145" t="s">
        <v>415</v>
      </c>
      <c r="B145" t="s">
        <v>247</v>
      </c>
      <c r="C145" t="s">
        <v>416</v>
      </c>
      <c r="D145" t="s">
        <v>39</v>
      </c>
      <c r="E145" t="s">
        <v>30</v>
      </c>
      <c r="F145" t="s">
        <v>31</v>
      </c>
      <c r="G145" t="s">
        <v>32</v>
      </c>
      <c r="H145" t="s">
        <v>33</v>
      </c>
      <c r="I145" t="s">
        <v>68</v>
      </c>
      <c r="J145" t="s">
        <v>69</v>
      </c>
      <c r="K145" t="s">
        <v>25</v>
      </c>
      <c r="L145">
        <v>4</v>
      </c>
      <c r="M145">
        <v>22100</v>
      </c>
      <c r="N145">
        <v>15</v>
      </c>
      <c r="O145">
        <v>1971.94</v>
      </c>
    </row>
    <row r="146" spans="1:15" x14ac:dyDescent="0.3">
      <c r="A146" t="s">
        <v>417</v>
      </c>
      <c r="B146" t="s">
        <v>418</v>
      </c>
      <c r="C146" t="s">
        <v>419</v>
      </c>
      <c r="D146" t="s">
        <v>39</v>
      </c>
      <c r="E146" t="s">
        <v>89</v>
      </c>
      <c r="F146" t="s">
        <v>20</v>
      </c>
      <c r="G146" t="s">
        <v>49</v>
      </c>
      <c r="H146" t="s">
        <v>33</v>
      </c>
      <c r="I146" t="s">
        <v>68</v>
      </c>
      <c r="J146" t="s">
        <v>69</v>
      </c>
      <c r="K146" t="s">
        <v>43</v>
      </c>
      <c r="L146">
        <v>3</v>
      </c>
      <c r="M146">
        <v>2700</v>
      </c>
      <c r="N146">
        <v>0</v>
      </c>
      <c r="O146">
        <v>278.58999999999997</v>
      </c>
    </row>
    <row r="147" spans="1:15" x14ac:dyDescent="0.3">
      <c r="A147" t="s">
        <v>420</v>
      </c>
      <c r="B147" t="s">
        <v>421</v>
      </c>
      <c r="C147" t="s">
        <v>422</v>
      </c>
      <c r="D147" t="s">
        <v>98</v>
      </c>
      <c r="E147" t="s">
        <v>113</v>
      </c>
      <c r="F147" t="s">
        <v>114</v>
      </c>
      <c r="G147" t="s">
        <v>115</v>
      </c>
      <c r="H147" t="s">
        <v>59</v>
      </c>
      <c r="I147" t="s">
        <v>60</v>
      </c>
      <c r="J147" t="s">
        <v>61</v>
      </c>
      <c r="K147" t="s">
        <v>25</v>
      </c>
      <c r="L147">
        <v>4</v>
      </c>
      <c r="M147">
        <v>6120</v>
      </c>
      <c r="N147">
        <v>15</v>
      </c>
      <c r="O147">
        <v>931.42</v>
      </c>
    </row>
    <row r="148" spans="1:15" x14ac:dyDescent="0.3">
      <c r="A148" t="s">
        <v>423</v>
      </c>
      <c r="B148" t="s">
        <v>183</v>
      </c>
      <c r="C148" t="s">
        <v>424</v>
      </c>
      <c r="D148" t="s">
        <v>98</v>
      </c>
      <c r="E148" t="s">
        <v>48</v>
      </c>
      <c r="F148" t="s">
        <v>20</v>
      </c>
      <c r="G148" t="s">
        <v>49</v>
      </c>
      <c r="H148" t="s">
        <v>40</v>
      </c>
      <c r="I148" t="s">
        <v>50</v>
      </c>
      <c r="J148" t="s">
        <v>51</v>
      </c>
      <c r="K148" t="s">
        <v>43</v>
      </c>
      <c r="L148">
        <v>3</v>
      </c>
      <c r="M148">
        <v>4050</v>
      </c>
      <c r="N148">
        <v>10</v>
      </c>
      <c r="O148">
        <v>781.94</v>
      </c>
    </row>
    <row r="149" spans="1:15" x14ac:dyDescent="0.3">
      <c r="A149" t="s">
        <v>425</v>
      </c>
      <c r="B149" t="s">
        <v>299</v>
      </c>
      <c r="C149" t="s">
        <v>300</v>
      </c>
      <c r="D149" t="s">
        <v>73</v>
      </c>
      <c r="E149" t="s">
        <v>113</v>
      </c>
      <c r="F149" t="s">
        <v>114</v>
      </c>
      <c r="G149" t="s">
        <v>115</v>
      </c>
      <c r="H149" t="s">
        <v>33</v>
      </c>
      <c r="I149" t="s">
        <v>34</v>
      </c>
      <c r="J149" t="s">
        <v>35</v>
      </c>
      <c r="K149" t="s">
        <v>81</v>
      </c>
      <c r="L149">
        <v>5</v>
      </c>
      <c r="M149">
        <v>8550</v>
      </c>
      <c r="N149">
        <v>5</v>
      </c>
      <c r="O149">
        <v>1021.26</v>
      </c>
    </row>
    <row r="150" spans="1:15" x14ac:dyDescent="0.3">
      <c r="A150" t="s">
        <v>426</v>
      </c>
      <c r="B150" t="s">
        <v>427</v>
      </c>
      <c r="C150" t="s">
        <v>428</v>
      </c>
      <c r="D150" t="s">
        <v>85</v>
      </c>
      <c r="E150" t="s">
        <v>19</v>
      </c>
      <c r="F150" t="s">
        <v>20</v>
      </c>
      <c r="G150" t="s">
        <v>21</v>
      </c>
      <c r="H150" t="s">
        <v>33</v>
      </c>
      <c r="I150" t="s">
        <v>68</v>
      </c>
      <c r="J150" t="s">
        <v>69</v>
      </c>
      <c r="K150" t="s">
        <v>81</v>
      </c>
      <c r="L150">
        <v>5</v>
      </c>
      <c r="M150">
        <v>247500</v>
      </c>
      <c r="N150">
        <v>10</v>
      </c>
      <c r="O150">
        <v>25899.61</v>
      </c>
    </row>
    <row r="151" spans="1:15" x14ac:dyDescent="0.3">
      <c r="A151" t="s">
        <v>429</v>
      </c>
      <c r="B151" t="s">
        <v>292</v>
      </c>
      <c r="C151" t="s">
        <v>295</v>
      </c>
      <c r="D151" t="s">
        <v>29</v>
      </c>
      <c r="E151" t="s">
        <v>130</v>
      </c>
      <c r="F151" t="s">
        <v>131</v>
      </c>
      <c r="G151" t="s">
        <v>132</v>
      </c>
      <c r="H151" t="s">
        <v>22</v>
      </c>
      <c r="I151" t="s">
        <v>155</v>
      </c>
      <c r="J151" t="s">
        <v>156</v>
      </c>
      <c r="K151" t="s">
        <v>81</v>
      </c>
      <c r="L151">
        <v>5</v>
      </c>
      <c r="M151">
        <v>2250</v>
      </c>
      <c r="N151">
        <v>0</v>
      </c>
      <c r="O151">
        <v>446.34</v>
      </c>
    </row>
    <row r="152" spans="1:15" x14ac:dyDescent="0.3">
      <c r="A152" t="s">
        <v>430</v>
      </c>
      <c r="B152" t="s">
        <v>431</v>
      </c>
      <c r="C152" t="s">
        <v>267</v>
      </c>
      <c r="D152" t="s">
        <v>29</v>
      </c>
      <c r="E152" t="s">
        <v>113</v>
      </c>
      <c r="F152" t="s">
        <v>114</v>
      </c>
      <c r="G152" t="s">
        <v>115</v>
      </c>
      <c r="H152" t="s">
        <v>22</v>
      </c>
      <c r="I152" t="s">
        <v>23</v>
      </c>
      <c r="J152" t="s">
        <v>24</v>
      </c>
      <c r="K152" t="s">
        <v>81</v>
      </c>
      <c r="L152">
        <v>4</v>
      </c>
      <c r="M152">
        <v>6840</v>
      </c>
      <c r="N152">
        <v>5</v>
      </c>
      <c r="O152">
        <v>760.9</v>
      </c>
    </row>
    <row r="153" spans="1:15" x14ac:dyDescent="0.3">
      <c r="A153" t="s">
        <v>432</v>
      </c>
      <c r="B153" t="s">
        <v>125</v>
      </c>
      <c r="C153" t="s">
        <v>433</v>
      </c>
      <c r="D153" t="s">
        <v>29</v>
      </c>
      <c r="E153" t="s">
        <v>48</v>
      </c>
      <c r="F153" t="s">
        <v>20</v>
      </c>
      <c r="G153" t="s">
        <v>49</v>
      </c>
      <c r="H153" t="s">
        <v>33</v>
      </c>
      <c r="I153" t="s">
        <v>34</v>
      </c>
      <c r="J153" t="s">
        <v>35</v>
      </c>
      <c r="K153" t="s">
        <v>25</v>
      </c>
      <c r="L153">
        <v>2</v>
      </c>
      <c r="M153">
        <v>2850</v>
      </c>
      <c r="N153">
        <v>5</v>
      </c>
      <c r="O153">
        <v>502.4</v>
      </c>
    </row>
    <row r="154" spans="1:15" x14ac:dyDescent="0.3">
      <c r="A154" t="s">
        <v>434</v>
      </c>
      <c r="B154" t="s">
        <v>435</v>
      </c>
      <c r="C154" t="s">
        <v>17</v>
      </c>
      <c r="D154" t="s">
        <v>80</v>
      </c>
      <c r="E154" t="s">
        <v>130</v>
      </c>
      <c r="F154" t="s">
        <v>131</v>
      </c>
      <c r="G154" t="s">
        <v>132</v>
      </c>
      <c r="H154" t="s">
        <v>59</v>
      </c>
      <c r="I154" t="s">
        <v>93</v>
      </c>
      <c r="J154" t="s">
        <v>94</v>
      </c>
      <c r="K154" t="s">
        <v>43</v>
      </c>
      <c r="L154">
        <v>1</v>
      </c>
      <c r="M154">
        <v>360</v>
      </c>
      <c r="N154">
        <v>20</v>
      </c>
      <c r="O154">
        <v>72.58</v>
      </c>
    </row>
    <row r="155" spans="1:15" x14ac:dyDescent="0.3">
      <c r="A155" t="s">
        <v>436</v>
      </c>
      <c r="B155" t="s">
        <v>78</v>
      </c>
      <c r="C155" t="s">
        <v>437</v>
      </c>
      <c r="D155" t="s">
        <v>18</v>
      </c>
      <c r="E155" t="s">
        <v>89</v>
      </c>
      <c r="F155" t="s">
        <v>20</v>
      </c>
      <c r="G155" t="s">
        <v>49</v>
      </c>
      <c r="H155" t="s">
        <v>22</v>
      </c>
      <c r="I155" t="s">
        <v>155</v>
      </c>
      <c r="J155" t="s">
        <v>156</v>
      </c>
      <c r="K155" t="s">
        <v>43</v>
      </c>
      <c r="L155">
        <v>5</v>
      </c>
      <c r="M155">
        <v>3825</v>
      </c>
      <c r="N155">
        <v>15</v>
      </c>
      <c r="O155">
        <v>719.74</v>
      </c>
    </row>
    <row r="156" spans="1:15" x14ac:dyDescent="0.3">
      <c r="A156" t="s">
        <v>438</v>
      </c>
      <c r="B156" t="s">
        <v>439</v>
      </c>
      <c r="C156" t="s">
        <v>440</v>
      </c>
      <c r="D156" t="s">
        <v>47</v>
      </c>
      <c r="E156" t="s">
        <v>48</v>
      </c>
      <c r="F156" t="s">
        <v>20</v>
      </c>
      <c r="G156" t="s">
        <v>49</v>
      </c>
      <c r="H156" t="s">
        <v>33</v>
      </c>
      <c r="I156" t="s">
        <v>34</v>
      </c>
      <c r="J156" t="s">
        <v>35</v>
      </c>
      <c r="K156" t="s">
        <v>81</v>
      </c>
      <c r="L156">
        <v>2</v>
      </c>
      <c r="M156">
        <v>3000</v>
      </c>
      <c r="N156">
        <v>0</v>
      </c>
      <c r="O156">
        <v>335.39</v>
      </c>
    </row>
    <row r="157" spans="1:15" x14ac:dyDescent="0.3">
      <c r="A157" t="s">
        <v>441</v>
      </c>
      <c r="B157" t="s">
        <v>153</v>
      </c>
      <c r="C157" t="s">
        <v>154</v>
      </c>
      <c r="D157" t="s">
        <v>73</v>
      </c>
      <c r="E157" t="s">
        <v>89</v>
      </c>
      <c r="F157" t="s">
        <v>20</v>
      </c>
      <c r="G157" t="s">
        <v>49</v>
      </c>
      <c r="H157" t="s">
        <v>33</v>
      </c>
      <c r="I157" t="s">
        <v>34</v>
      </c>
      <c r="J157" t="s">
        <v>35</v>
      </c>
      <c r="K157" t="s">
        <v>43</v>
      </c>
      <c r="L157">
        <v>3</v>
      </c>
      <c r="M157">
        <v>2700</v>
      </c>
      <c r="N157">
        <v>0</v>
      </c>
      <c r="O157">
        <v>588.59</v>
      </c>
    </row>
    <row r="158" spans="1:15" x14ac:dyDescent="0.3">
      <c r="A158" t="s">
        <v>442</v>
      </c>
      <c r="B158" t="s">
        <v>17</v>
      </c>
      <c r="C158" t="s">
        <v>324</v>
      </c>
      <c r="D158" t="s">
        <v>73</v>
      </c>
      <c r="E158" t="s">
        <v>56</v>
      </c>
      <c r="F158" t="s">
        <v>57</v>
      </c>
      <c r="G158" t="s">
        <v>58</v>
      </c>
      <c r="H158" t="s">
        <v>59</v>
      </c>
      <c r="I158" t="s">
        <v>60</v>
      </c>
      <c r="J158" t="s">
        <v>61</v>
      </c>
      <c r="K158" t="s">
        <v>43</v>
      </c>
      <c r="L158">
        <v>2</v>
      </c>
      <c r="M158">
        <v>630</v>
      </c>
      <c r="N158">
        <v>10</v>
      </c>
      <c r="O158">
        <v>84.17</v>
      </c>
    </row>
    <row r="159" spans="1:15" x14ac:dyDescent="0.3">
      <c r="A159" t="s">
        <v>443</v>
      </c>
      <c r="B159" t="s">
        <v>308</v>
      </c>
      <c r="C159" t="s">
        <v>53</v>
      </c>
      <c r="D159" t="s">
        <v>29</v>
      </c>
      <c r="E159" t="s">
        <v>30</v>
      </c>
      <c r="F159" t="s">
        <v>31</v>
      </c>
      <c r="G159" t="s">
        <v>32</v>
      </c>
      <c r="H159" t="s">
        <v>33</v>
      </c>
      <c r="I159" t="s">
        <v>68</v>
      </c>
      <c r="J159" t="s">
        <v>69</v>
      </c>
      <c r="K159" t="s">
        <v>25</v>
      </c>
      <c r="L159">
        <v>3</v>
      </c>
      <c r="M159">
        <v>16575</v>
      </c>
      <c r="N159">
        <v>15</v>
      </c>
      <c r="O159">
        <v>3109.6</v>
      </c>
    </row>
    <row r="160" spans="1:15" x14ac:dyDescent="0.3">
      <c r="A160" t="s">
        <v>444</v>
      </c>
      <c r="B160" t="s">
        <v>377</v>
      </c>
      <c r="C160" t="s">
        <v>445</v>
      </c>
      <c r="D160" t="s">
        <v>73</v>
      </c>
      <c r="E160" t="s">
        <v>113</v>
      </c>
      <c r="F160" t="s">
        <v>114</v>
      </c>
      <c r="G160" t="s">
        <v>115</v>
      </c>
      <c r="H160" t="s">
        <v>33</v>
      </c>
      <c r="I160" t="s">
        <v>68</v>
      </c>
      <c r="J160" t="s">
        <v>133</v>
      </c>
      <c r="K160" t="s">
        <v>25</v>
      </c>
      <c r="L160">
        <v>5</v>
      </c>
      <c r="M160">
        <v>8550</v>
      </c>
      <c r="N160">
        <v>5</v>
      </c>
      <c r="O160">
        <v>705</v>
      </c>
    </row>
    <row r="161" spans="1:15" x14ac:dyDescent="0.3">
      <c r="A161" t="s">
        <v>446</v>
      </c>
      <c r="B161" t="s">
        <v>447</v>
      </c>
      <c r="C161" t="s">
        <v>409</v>
      </c>
      <c r="D161" t="s">
        <v>102</v>
      </c>
      <c r="E161" t="s">
        <v>119</v>
      </c>
      <c r="F161" t="s">
        <v>31</v>
      </c>
      <c r="G161" t="s">
        <v>120</v>
      </c>
      <c r="H161" t="s">
        <v>40</v>
      </c>
      <c r="I161" t="s">
        <v>41</v>
      </c>
      <c r="J161" t="s">
        <v>42</v>
      </c>
      <c r="K161" t="s">
        <v>43</v>
      </c>
      <c r="L161">
        <v>3</v>
      </c>
      <c r="M161">
        <v>20400</v>
      </c>
      <c r="N161">
        <v>20</v>
      </c>
      <c r="O161">
        <v>3842.7</v>
      </c>
    </row>
    <row r="162" spans="1:15" x14ac:dyDescent="0.3">
      <c r="A162" t="s">
        <v>448</v>
      </c>
      <c r="B162" t="s">
        <v>144</v>
      </c>
      <c r="C162" t="s">
        <v>179</v>
      </c>
      <c r="D162" t="s">
        <v>39</v>
      </c>
      <c r="E162" t="s">
        <v>30</v>
      </c>
      <c r="F162" t="s">
        <v>31</v>
      </c>
      <c r="G162" t="s">
        <v>32</v>
      </c>
      <c r="H162" t="s">
        <v>40</v>
      </c>
      <c r="I162" t="s">
        <v>41</v>
      </c>
      <c r="J162" t="s">
        <v>42</v>
      </c>
      <c r="K162" t="s">
        <v>25</v>
      </c>
      <c r="L162">
        <v>2</v>
      </c>
      <c r="M162">
        <v>11050</v>
      </c>
      <c r="N162">
        <v>15</v>
      </c>
      <c r="O162">
        <v>2318.5700000000002</v>
      </c>
    </row>
    <row r="163" spans="1:15" x14ac:dyDescent="0.3">
      <c r="A163" t="s">
        <v>449</v>
      </c>
      <c r="B163" t="s">
        <v>450</v>
      </c>
      <c r="C163" t="s">
        <v>409</v>
      </c>
      <c r="D163" t="s">
        <v>47</v>
      </c>
      <c r="E163" t="s">
        <v>130</v>
      </c>
      <c r="F163" t="s">
        <v>131</v>
      </c>
      <c r="G163" t="s">
        <v>132</v>
      </c>
      <c r="H163" t="s">
        <v>40</v>
      </c>
      <c r="I163" t="s">
        <v>50</v>
      </c>
      <c r="J163" t="s">
        <v>51</v>
      </c>
      <c r="K163" t="s">
        <v>43</v>
      </c>
      <c r="L163">
        <v>3</v>
      </c>
      <c r="M163">
        <v>1350</v>
      </c>
      <c r="N163">
        <v>0</v>
      </c>
      <c r="O163">
        <v>156.72999999999999</v>
      </c>
    </row>
    <row r="164" spans="1:15" x14ac:dyDescent="0.3">
      <c r="A164" t="s">
        <v>451</v>
      </c>
      <c r="B164" t="s">
        <v>452</v>
      </c>
      <c r="C164" t="s">
        <v>322</v>
      </c>
      <c r="D164" t="s">
        <v>80</v>
      </c>
      <c r="E164" t="s">
        <v>30</v>
      </c>
      <c r="F164" t="s">
        <v>31</v>
      </c>
      <c r="G164" t="s">
        <v>32</v>
      </c>
      <c r="H164" t="s">
        <v>59</v>
      </c>
      <c r="I164" t="s">
        <v>93</v>
      </c>
      <c r="J164" t="s">
        <v>94</v>
      </c>
      <c r="K164" t="s">
        <v>81</v>
      </c>
      <c r="L164">
        <v>2</v>
      </c>
      <c r="M164">
        <v>13000</v>
      </c>
      <c r="N164">
        <v>0</v>
      </c>
      <c r="O164">
        <v>2187.38</v>
      </c>
    </row>
    <row r="165" spans="1:15" x14ac:dyDescent="0.3">
      <c r="A165" t="s">
        <v>453</v>
      </c>
      <c r="B165" t="s">
        <v>454</v>
      </c>
      <c r="C165" t="s">
        <v>455</v>
      </c>
      <c r="D165" t="s">
        <v>55</v>
      </c>
      <c r="E165" t="s">
        <v>119</v>
      </c>
      <c r="F165" t="s">
        <v>31</v>
      </c>
      <c r="G165" t="s">
        <v>120</v>
      </c>
      <c r="H165" t="s">
        <v>40</v>
      </c>
      <c r="I165" t="s">
        <v>50</v>
      </c>
      <c r="J165" t="s">
        <v>51</v>
      </c>
      <c r="K165" t="s">
        <v>43</v>
      </c>
      <c r="L165">
        <v>5</v>
      </c>
      <c r="M165">
        <v>36125</v>
      </c>
      <c r="N165">
        <v>15</v>
      </c>
      <c r="O165">
        <v>7072.86</v>
      </c>
    </row>
    <row r="166" spans="1:15" x14ac:dyDescent="0.3">
      <c r="A166" t="s">
        <v>456</v>
      </c>
      <c r="B166" t="s">
        <v>457</v>
      </c>
      <c r="C166" t="s">
        <v>91</v>
      </c>
      <c r="D166" t="s">
        <v>85</v>
      </c>
      <c r="E166" t="s">
        <v>66</v>
      </c>
      <c r="F166" t="s">
        <v>20</v>
      </c>
      <c r="G166" t="s">
        <v>67</v>
      </c>
      <c r="H166" t="s">
        <v>59</v>
      </c>
      <c r="I166" t="s">
        <v>60</v>
      </c>
      <c r="J166" t="s">
        <v>61</v>
      </c>
      <c r="K166" t="s">
        <v>43</v>
      </c>
      <c r="L166">
        <v>1</v>
      </c>
      <c r="M166">
        <v>10200</v>
      </c>
      <c r="N166">
        <v>15</v>
      </c>
      <c r="O166">
        <v>1185.6600000000001</v>
      </c>
    </row>
    <row r="167" spans="1:15" x14ac:dyDescent="0.3">
      <c r="A167" t="s">
        <v>458</v>
      </c>
      <c r="B167" t="s">
        <v>457</v>
      </c>
      <c r="C167" t="s">
        <v>92</v>
      </c>
      <c r="D167" t="s">
        <v>102</v>
      </c>
      <c r="E167" t="s">
        <v>119</v>
      </c>
      <c r="F167" t="s">
        <v>31</v>
      </c>
      <c r="G167" t="s">
        <v>120</v>
      </c>
      <c r="H167" t="s">
        <v>33</v>
      </c>
      <c r="I167" t="s">
        <v>68</v>
      </c>
      <c r="J167" t="s">
        <v>133</v>
      </c>
      <c r="K167" t="s">
        <v>43</v>
      </c>
      <c r="L167">
        <v>5</v>
      </c>
      <c r="M167">
        <v>34000</v>
      </c>
      <c r="N167">
        <v>20</v>
      </c>
      <c r="O167">
        <v>3204.07</v>
      </c>
    </row>
    <row r="168" spans="1:15" x14ac:dyDescent="0.3">
      <c r="A168" t="s">
        <v>459</v>
      </c>
      <c r="B168" t="s">
        <v>460</v>
      </c>
      <c r="C168" t="s">
        <v>461</v>
      </c>
      <c r="D168" t="s">
        <v>29</v>
      </c>
      <c r="E168" t="s">
        <v>130</v>
      </c>
      <c r="F168" t="s">
        <v>131</v>
      </c>
      <c r="G168" t="s">
        <v>132</v>
      </c>
      <c r="H168" t="s">
        <v>22</v>
      </c>
      <c r="I168" t="s">
        <v>23</v>
      </c>
      <c r="J168" t="s">
        <v>24</v>
      </c>
      <c r="K168" t="s">
        <v>81</v>
      </c>
      <c r="L168">
        <v>1</v>
      </c>
      <c r="M168">
        <v>427.5</v>
      </c>
      <c r="N168">
        <v>5</v>
      </c>
      <c r="O168">
        <v>86.47</v>
      </c>
    </row>
    <row r="169" spans="1:15" x14ac:dyDescent="0.3">
      <c r="A169" t="s">
        <v>462</v>
      </c>
      <c r="B169" t="s">
        <v>104</v>
      </c>
      <c r="C169" t="s">
        <v>463</v>
      </c>
      <c r="D169" t="s">
        <v>47</v>
      </c>
      <c r="E169" t="s">
        <v>106</v>
      </c>
      <c r="F169" t="s">
        <v>20</v>
      </c>
      <c r="G169" t="s">
        <v>49</v>
      </c>
      <c r="H169" t="s">
        <v>40</v>
      </c>
      <c r="I169" t="s">
        <v>50</v>
      </c>
      <c r="J169" t="s">
        <v>51</v>
      </c>
      <c r="K169" t="s">
        <v>25</v>
      </c>
      <c r="L169">
        <v>5</v>
      </c>
      <c r="M169">
        <v>9900</v>
      </c>
      <c r="N169">
        <v>10</v>
      </c>
      <c r="O169">
        <v>1709.31</v>
      </c>
    </row>
    <row r="170" spans="1:15" x14ac:dyDescent="0.3">
      <c r="A170" t="s">
        <v>464</v>
      </c>
      <c r="B170" t="s">
        <v>331</v>
      </c>
      <c r="C170" t="s">
        <v>309</v>
      </c>
      <c r="D170" t="s">
        <v>80</v>
      </c>
      <c r="E170" t="s">
        <v>106</v>
      </c>
      <c r="F170" t="s">
        <v>20</v>
      </c>
      <c r="G170" t="s">
        <v>49</v>
      </c>
      <c r="H170" t="s">
        <v>40</v>
      </c>
      <c r="I170" t="s">
        <v>50</v>
      </c>
      <c r="J170" t="s">
        <v>51</v>
      </c>
      <c r="K170" t="s">
        <v>81</v>
      </c>
      <c r="L170">
        <v>4</v>
      </c>
      <c r="M170">
        <v>8800</v>
      </c>
      <c r="N170">
        <v>0</v>
      </c>
      <c r="O170">
        <v>1131.1199999999999</v>
      </c>
    </row>
    <row r="171" spans="1:15" x14ac:dyDescent="0.3">
      <c r="A171" t="s">
        <v>465</v>
      </c>
      <c r="B171" t="s">
        <v>466</v>
      </c>
      <c r="C171" t="s">
        <v>467</v>
      </c>
      <c r="D171" t="s">
        <v>39</v>
      </c>
      <c r="E171" t="s">
        <v>119</v>
      </c>
      <c r="F171" t="s">
        <v>31</v>
      </c>
      <c r="G171" t="s">
        <v>120</v>
      </c>
      <c r="H171" t="s">
        <v>33</v>
      </c>
      <c r="I171" t="s">
        <v>68</v>
      </c>
      <c r="J171" t="s">
        <v>133</v>
      </c>
      <c r="K171" t="s">
        <v>43</v>
      </c>
      <c r="L171">
        <v>3</v>
      </c>
      <c r="M171">
        <v>20400</v>
      </c>
      <c r="N171">
        <v>20</v>
      </c>
      <c r="O171">
        <v>3666.02</v>
      </c>
    </row>
    <row r="172" spans="1:15" x14ac:dyDescent="0.3">
      <c r="A172" t="s">
        <v>468</v>
      </c>
      <c r="B172" t="s">
        <v>469</v>
      </c>
      <c r="C172" t="s">
        <v>148</v>
      </c>
      <c r="D172" t="s">
        <v>73</v>
      </c>
      <c r="E172" t="s">
        <v>130</v>
      </c>
      <c r="F172" t="s">
        <v>131</v>
      </c>
      <c r="G172" t="s">
        <v>132</v>
      </c>
      <c r="H172" t="s">
        <v>22</v>
      </c>
      <c r="I172" t="s">
        <v>23</v>
      </c>
      <c r="J172" t="s">
        <v>24</v>
      </c>
      <c r="K172" t="s">
        <v>25</v>
      </c>
      <c r="L172">
        <v>5</v>
      </c>
      <c r="M172">
        <v>2025</v>
      </c>
      <c r="N172">
        <v>10</v>
      </c>
      <c r="O172">
        <v>350.72</v>
      </c>
    </row>
    <row r="173" spans="1:15" x14ac:dyDescent="0.3">
      <c r="A173" t="s">
        <v>470</v>
      </c>
      <c r="B173" t="s">
        <v>471</v>
      </c>
      <c r="C173" t="s">
        <v>328</v>
      </c>
      <c r="D173" t="s">
        <v>18</v>
      </c>
      <c r="E173" t="s">
        <v>19</v>
      </c>
      <c r="F173" t="s">
        <v>20</v>
      </c>
      <c r="G173" t="s">
        <v>21</v>
      </c>
      <c r="H173" t="s">
        <v>22</v>
      </c>
      <c r="I173" t="s">
        <v>23</v>
      </c>
      <c r="J173" t="s">
        <v>24</v>
      </c>
      <c r="K173" t="s">
        <v>62</v>
      </c>
      <c r="L173">
        <v>2</v>
      </c>
      <c r="M173">
        <v>99000</v>
      </c>
      <c r="N173">
        <v>10</v>
      </c>
      <c r="O173">
        <v>8562.9599999999991</v>
      </c>
    </row>
    <row r="174" spans="1:15" x14ac:dyDescent="0.3">
      <c r="A174" t="s">
        <v>472</v>
      </c>
      <c r="B174" t="s">
        <v>239</v>
      </c>
      <c r="C174" t="s">
        <v>194</v>
      </c>
      <c r="D174" t="s">
        <v>98</v>
      </c>
      <c r="E174" t="s">
        <v>19</v>
      </c>
      <c r="F174" t="s">
        <v>20</v>
      </c>
      <c r="G174" t="s">
        <v>21</v>
      </c>
      <c r="H174" t="s">
        <v>59</v>
      </c>
      <c r="I174" t="s">
        <v>93</v>
      </c>
      <c r="J174" t="s">
        <v>94</v>
      </c>
      <c r="K174" t="s">
        <v>43</v>
      </c>
      <c r="L174">
        <v>2</v>
      </c>
      <c r="M174">
        <v>110000</v>
      </c>
      <c r="N174">
        <v>0</v>
      </c>
      <c r="O174">
        <v>10604.33</v>
      </c>
    </row>
    <row r="175" spans="1:15" x14ac:dyDescent="0.3">
      <c r="A175" t="s">
        <v>473</v>
      </c>
      <c r="B175" t="s">
        <v>466</v>
      </c>
      <c r="C175" t="s">
        <v>474</v>
      </c>
      <c r="D175" t="s">
        <v>39</v>
      </c>
      <c r="E175" t="s">
        <v>19</v>
      </c>
      <c r="F175" t="s">
        <v>20</v>
      </c>
      <c r="G175" t="s">
        <v>21</v>
      </c>
      <c r="H175" t="s">
        <v>33</v>
      </c>
      <c r="I175" t="s">
        <v>68</v>
      </c>
      <c r="J175" t="s">
        <v>133</v>
      </c>
      <c r="K175" t="s">
        <v>43</v>
      </c>
      <c r="L175">
        <v>3</v>
      </c>
      <c r="M175">
        <v>156750</v>
      </c>
      <c r="N175">
        <v>5</v>
      </c>
      <c r="O175">
        <v>27822.95</v>
      </c>
    </row>
    <row r="176" spans="1:15" x14ac:dyDescent="0.3">
      <c r="A176" t="s">
        <v>475</v>
      </c>
      <c r="B176" t="s">
        <v>305</v>
      </c>
      <c r="C176" t="s">
        <v>476</v>
      </c>
      <c r="D176" t="s">
        <v>29</v>
      </c>
      <c r="E176" t="s">
        <v>130</v>
      </c>
      <c r="F176" t="s">
        <v>131</v>
      </c>
      <c r="G176" t="s">
        <v>132</v>
      </c>
      <c r="H176" t="s">
        <v>33</v>
      </c>
      <c r="I176" t="s">
        <v>68</v>
      </c>
      <c r="J176" t="s">
        <v>69</v>
      </c>
      <c r="K176" t="s">
        <v>43</v>
      </c>
      <c r="L176">
        <v>1</v>
      </c>
      <c r="M176">
        <v>360</v>
      </c>
      <c r="N176">
        <v>20</v>
      </c>
      <c r="O176">
        <v>75.709999999999994</v>
      </c>
    </row>
    <row r="177" spans="1:15" x14ac:dyDescent="0.3">
      <c r="A177" t="s">
        <v>477</v>
      </c>
      <c r="B177" t="s">
        <v>187</v>
      </c>
      <c r="C177" t="s">
        <v>334</v>
      </c>
      <c r="D177" t="s">
        <v>80</v>
      </c>
      <c r="E177" t="s">
        <v>48</v>
      </c>
      <c r="F177" t="s">
        <v>20</v>
      </c>
      <c r="G177" t="s">
        <v>49</v>
      </c>
      <c r="H177" t="s">
        <v>40</v>
      </c>
      <c r="I177" t="s">
        <v>50</v>
      </c>
      <c r="J177" t="s">
        <v>51</v>
      </c>
      <c r="K177" t="s">
        <v>62</v>
      </c>
      <c r="L177">
        <v>3</v>
      </c>
      <c r="M177">
        <v>4275</v>
      </c>
      <c r="N177">
        <v>5</v>
      </c>
      <c r="O177">
        <v>698.48</v>
      </c>
    </row>
    <row r="178" spans="1:15" x14ac:dyDescent="0.3">
      <c r="A178" t="s">
        <v>478</v>
      </c>
      <c r="B178" t="s">
        <v>204</v>
      </c>
      <c r="C178" t="s">
        <v>479</v>
      </c>
      <c r="D178" t="s">
        <v>18</v>
      </c>
      <c r="E178" t="s">
        <v>119</v>
      </c>
      <c r="F178" t="s">
        <v>31</v>
      </c>
      <c r="G178" t="s">
        <v>120</v>
      </c>
      <c r="H178" t="s">
        <v>59</v>
      </c>
      <c r="I178" t="s">
        <v>93</v>
      </c>
      <c r="J178" t="s">
        <v>94</v>
      </c>
      <c r="K178" t="s">
        <v>81</v>
      </c>
      <c r="L178">
        <v>3</v>
      </c>
      <c r="M178">
        <v>22950</v>
      </c>
      <c r="N178">
        <v>10</v>
      </c>
      <c r="O178">
        <v>3308.95</v>
      </c>
    </row>
    <row r="179" spans="1:15" x14ac:dyDescent="0.3">
      <c r="A179" t="s">
        <v>480</v>
      </c>
      <c r="B179" t="s">
        <v>481</v>
      </c>
      <c r="C179" t="s">
        <v>482</v>
      </c>
      <c r="D179" t="s">
        <v>80</v>
      </c>
      <c r="E179" t="s">
        <v>66</v>
      </c>
      <c r="F179" t="s">
        <v>20</v>
      </c>
      <c r="G179" t="s">
        <v>67</v>
      </c>
      <c r="H179" t="s">
        <v>40</v>
      </c>
      <c r="I179" t="s">
        <v>50</v>
      </c>
      <c r="J179" t="s">
        <v>51</v>
      </c>
      <c r="K179" t="s">
        <v>81</v>
      </c>
      <c r="L179">
        <v>5</v>
      </c>
      <c r="M179">
        <v>48000</v>
      </c>
      <c r="N179">
        <v>20</v>
      </c>
      <c r="O179">
        <v>9016.27</v>
      </c>
    </row>
    <row r="180" spans="1:15" x14ac:dyDescent="0.3">
      <c r="A180" t="s">
        <v>483</v>
      </c>
      <c r="B180" t="s">
        <v>484</v>
      </c>
      <c r="C180" t="s">
        <v>171</v>
      </c>
      <c r="D180" t="s">
        <v>102</v>
      </c>
      <c r="E180" t="s">
        <v>66</v>
      </c>
      <c r="F180" t="s">
        <v>20</v>
      </c>
      <c r="G180" t="s">
        <v>67</v>
      </c>
      <c r="H180" t="s">
        <v>40</v>
      </c>
      <c r="I180" t="s">
        <v>41</v>
      </c>
      <c r="J180" t="s">
        <v>42</v>
      </c>
      <c r="K180" t="s">
        <v>62</v>
      </c>
      <c r="L180">
        <v>4</v>
      </c>
      <c r="M180">
        <v>38400</v>
      </c>
      <c r="N180">
        <v>20</v>
      </c>
      <c r="O180">
        <v>3927.36</v>
      </c>
    </row>
    <row r="181" spans="1:15" x14ac:dyDescent="0.3">
      <c r="A181" t="s">
        <v>485</v>
      </c>
      <c r="B181" t="s">
        <v>457</v>
      </c>
      <c r="C181" t="s">
        <v>91</v>
      </c>
      <c r="D181" t="s">
        <v>55</v>
      </c>
      <c r="E181" t="s">
        <v>66</v>
      </c>
      <c r="F181" t="s">
        <v>20</v>
      </c>
      <c r="G181" t="s">
        <v>67</v>
      </c>
      <c r="H181" t="s">
        <v>59</v>
      </c>
      <c r="I181" t="s">
        <v>93</v>
      </c>
      <c r="J181" t="s">
        <v>94</v>
      </c>
      <c r="K181" t="s">
        <v>62</v>
      </c>
      <c r="L181">
        <v>3</v>
      </c>
      <c r="M181">
        <v>36000</v>
      </c>
      <c r="N181">
        <v>0</v>
      </c>
      <c r="O181">
        <v>2943.03</v>
      </c>
    </row>
    <row r="182" spans="1:15" x14ac:dyDescent="0.3">
      <c r="A182" t="s">
        <v>486</v>
      </c>
      <c r="B182" t="s">
        <v>487</v>
      </c>
      <c r="C182" t="s">
        <v>488</v>
      </c>
      <c r="D182" t="s">
        <v>102</v>
      </c>
      <c r="E182" t="s">
        <v>19</v>
      </c>
      <c r="F182" t="s">
        <v>20</v>
      </c>
      <c r="G182" t="s">
        <v>21</v>
      </c>
      <c r="H182" t="s">
        <v>59</v>
      </c>
      <c r="I182" t="s">
        <v>60</v>
      </c>
      <c r="J182" t="s">
        <v>61</v>
      </c>
      <c r="K182" t="s">
        <v>62</v>
      </c>
      <c r="L182">
        <v>4</v>
      </c>
      <c r="M182">
        <v>220000</v>
      </c>
      <c r="N182">
        <v>0</v>
      </c>
      <c r="O182">
        <v>20831.580000000002</v>
      </c>
    </row>
    <row r="183" spans="1:15" x14ac:dyDescent="0.3">
      <c r="A183" t="s">
        <v>489</v>
      </c>
      <c r="B183" t="s">
        <v>490</v>
      </c>
      <c r="C183" t="s">
        <v>491</v>
      </c>
      <c r="D183" t="s">
        <v>29</v>
      </c>
      <c r="E183" t="s">
        <v>56</v>
      </c>
      <c r="F183" t="s">
        <v>57</v>
      </c>
      <c r="G183" t="s">
        <v>58</v>
      </c>
      <c r="H183" t="s">
        <v>22</v>
      </c>
      <c r="I183" t="s">
        <v>155</v>
      </c>
      <c r="J183" t="s">
        <v>156</v>
      </c>
      <c r="K183" t="s">
        <v>81</v>
      </c>
      <c r="L183">
        <v>5</v>
      </c>
      <c r="M183">
        <v>1487.5</v>
      </c>
      <c r="N183">
        <v>15</v>
      </c>
      <c r="O183">
        <v>279.18</v>
      </c>
    </row>
    <row r="184" spans="1:15" x14ac:dyDescent="0.3">
      <c r="A184" t="s">
        <v>492</v>
      </c>
      <c r="B184" t="s">
        <v>460</v>
      </c>
      <c r="C184" t="s">
        <v>493</v>
      </c>
      <c r="D184" t="s">
        <v>102</v>
      </c>
      <c r="E184" t="s">
        <v>56</v>
      </c>
      <c r="F184" t="s">
        <v>57</v>
      </c>
      <c r="G184" t="s">
        <v>58</v>
      </c>
      <c r="H184" t="s">
        <v>40</v>
      </c>
      <c r="I184" t="s">
        <v>41</v>
      </c>
      <c r="J184" t="s">
        <v>42</v>
      </c>
      <c r="K184" t="s">
        <v>81</v>
      </c>
      <c r="L184">
        <v>2</v>
      </c>
      <c r="M184">
        <v>700</v>
      </c>
      <c r="N184">
        <v>0</v>
      </c>
      <c r="O184">
        <v>144.4</v>
      </c>
    </row>
    <row r="185" spans="1:15" x14ac:dyDescent="0.3">
      <c r="A185" t="s">
        <v>494</v>
      </c>
      <c r="B185" t="s">
        <v>427</v>
      </c>
      <c r="C185" t="s">
        <v>151</v>
      </c>
      <c r="D185" t="s">
        <v>80</v>
      </c>
      <c r="E185" t="s">
        <v>30</v>
      </c>
      <c r="F185" t="s">
        <v>31</v>
      </c>
      <c r="G185" t="s">
        <v>32</v>
      </c>
      <c r="H185" t="s">
        <v>59</v>
      </c>
      <c r="I185" t="s">
        <v>60</v>
      </c>
      <c r="J185" t="s">
        <v>61</v>
      </c>
      <c r="K185" t="s">
        <v>43</v>
      </c>
      <c r="L185">
        <v>2</v>
      </c>
      <c r="M185">
        <v>12350</v>
      </c>
      <c r="N185">
        <v>5</v>
      </c>
      <c r="O185">
        <v>1823.37</v>
      </c>
    </row>
    <row r="186" spans="1:15" x14ac:dyDescent="0.3">
      <c r="A186" t="s">
        <v>495</v>
      </c>
      <c r="B186" t="s">
        <v>469</v>
      </c>
      <c r="C186" t="s">
        <v>128</v>
      </c>
      <c r="D186" t="s">
        <v>98</v>
      </c>
      <c r="E186" t="s">
        <v>113</v>
      </c>
      <c r="F186" t="s">
        <v>114</v>
      </c>
      <c r="G186" t="s">
        <v>115</v>
      </c>
      <c r="H186" t="s">
        <v>40</v>
      </c>
      <c r="I186" t="s">
        <v>50</v>
      </c>
      <c r="J186" t="s">
        <v>51</v>
      </c>
      <c r="K186" t="s">
        <v>25</v>
      </c>
      <c r="L186">
        <v>4</v>
      </c>
      <c r="M186">
        <v>6120</v>
      </c>
      <c r="N186">
        <v>15</v>
      </c>
      <c r="O186">
        <v>888.02</v>
      </c>
    </row>
    <row r="187" spans="1:15" x14ac:dyDescent="0.3">
      <c r="A187" t="s">
        <v>496</v>
      </c>
      <c r="B187" t="s">
        <v>497</v>
      </c>
      <c r="C187" t="s">
        <v>142</v>
      </c>
      <c r="D187" t="s">
        <v>85</v>
      </c>
      <c r="E187" t="s">
        <v>113</v>
      </c>
      <c r="F187" t="s">
        <v>114</v>
      </c>
      <c r="G187" t="s">
        <v>115</v>
      </c>
      <c r="H187" t="s">
        <v>40</v>
      </c>
      <c r="I187" t="s">
        <v>50</v>
      </c>
      <c r="J187" t="s">
        <v>51</v>
      </c>
      <c r="K187" t="s">
        <v>62</v>
      </c>
      <c r="L187">
        <v>5</v>
      </c>
      <c r="M187">
        <v>7200</v>
      </c>
      <c r="N187">
        <v>20</v>
      </c>
      <c r="O187">
        <v>1282.97</v>
      </c>
    </row>
    <row r="188" spans="1:15" x14ac:dyDescent="0.3">
      <c r="A188" t="s">
        <v>498</v>
      </c>
      <c r="B188" t="s">
        <v>499</v>
      </c>
      <c r="C188" t="s">
        <v>500</v>
      </c>
      <c r="D188" t="s">
        <v>39</v>
      </c>
      <c r="E188" t="s">
        <v>30</v>
      </c>
      <c r="F188" t="s">
        <v>31</v>
      </c>
      <c r="G188" t="s">
        <v>32</v>
      </c>
      <c r="H188" t="s">
        <v>33</v>
      </c>
      <c r="I188" t="s">
        <v>68</v>
      </c>
      <c r="J188" t="s">
        <v>69</v>
      </c>
      <c r="K188" t="s">
        <v>81</v>
      </c>
      <c r="L188">
        <v>1</v>
      </c>
      <c r="M188">
        <v>5525</v>
      </c>
      <c r="N188">
        <v>15</v>
      </c>
      <c r="O188">
        <v>970.48</v>
      </c>
    </row>
    <row r="189" spans="1:15" x14ac:dyDescent="0.3">
      <c r="A189" t="s">
        <v>501</v>
      </c>
      <c r="B189" t="s">
        <v>340</v>
      </c>
      <c r="C189" t="s">
        <v>27</v>
      </c>
      <c r="D189" t="s">
        <v>47</v>
      </c>
      <c r="E189" t="s">
        <v>89</v>
      </c>
      <c r="F189" t="s">
        <v>20</v>
      </c>
      <c r="G189" t="s">
        <v>49</v>
      </c>
      <c r="H189" t="s">
        <v>59</v>
      </c>
      <c r="I189" t="s">
        <v>93</v>
      </c>
      <c r="J189" t="s">
        <v>94</v>
      </c>
      <c r="K189" t="s">
        <v>43</v>
      </c>
      <c r="L189">
        <v>2</v>
      </c>
      <c r="M189">
        <v>1710</v>
      </c>
      <c r="N189">
        <v>5</v>
      </c>
      <c r="O189">
        <v>215.96</v>
      </c>
    </row>
    <row r="190" spans="1:15" x14ac:dyDescent="0.3">
      <c r="A190" t="s">
        <v>502</v>
      </c>
      <c r="B190" t="s">
        <v>503</v>
      </c>
      <c r="C190" t="s">
        <v>358</v>
      </c>
      <c r="D190" t="s">
        <v>73</v>
      </c>
      <c r="E190" t="s">
        <v>19</v>
      </c>
      <c r="F190" t="s">
        <v>20</v>
      </c>
      <c r="G190" t="s">
        <v>21</v>
      </c>
      <c r="H190" t="s">
        <v>59</v>
      </c>
      <c r="I190" t="s">
        <v>93</v>
      </c>
      <c r="J190" t="s">
        <v>94</v>
      </c>
      <c r="K190" t="s">
        <v>62</v>
      </c>
      <c r="L190">
        <v>3</v>
      </c>
      <c r="M190">
        <v>156750</v>
      </c>
      <c r="N190">
        <v>5</v>
      </c>
      <c r="O190">
        <v>17652.13</v>
      </c>
    </row>
    <row r="191" spans="1:15" x14ac:dyDescent="0.3">
      <c r="A191" t="s">
        <v>504</v>
      </c>
      <c r="B191" t="s">
        <v>505</v>
      </c>
      <c r="C191" t="s">
        <v>125</v>
      </c>
      <c r="D191" t="s">
        <v>85</v>
      </c>
      <c r="E191" t="s">
        <v>119</v>
      </c>
      <c r="F191" t="s">
        <v>31</v>
      </c>
      <c r="G191" t="s">
        <v>120</v>
      </c>
      <c r="H191" t="s">
        <v>40</v>
      </c>
      <c r="I191" t="s">
        <v>41</v>
      </c>
      <c r="J191" t="s">
        <v>42</v>
      </c>
      <c r="K191" t="s">
        <v>81</v>
      </c>
      <c r="L191">
        <v>4</v>
      </c>
      <c r="M191">
        <v>30600</v>
      </c>
      <c r="N191">
        <v>10</v>
      </c>
      <c r="O191">
        <v>5773.15</v>
      </c>
    </row>
    <row r="192" spans="1:15" x14ac:dyDescent="0.3">
      <c r="A192" t="s">
        <v>506</v>
      </c>
      <c r="B192" t="s">
        <v>455</v>
      </c>
      <c r="C192" t="s">
        <v>186</v>
      </c>
      <c r="D192" t="s">
        <v>102</v>
      </c>
      <c r="E192" t="s">
        <v>66</v>
      </c>
      <c r="F192" t="s">
        <v>20</v>
      </c>
      <c r="G192" t="s">
        <v>67</v>
      </c>
      <c r="H192" t="s">
        <v>59</v>
      </c>
      <c r="I192" t="s">
        <v>60</v>
      </c>
      <c r="J192" t="s">
        <v>61</v>
      </c>
      <c r="K192" t="s">
        <v>25</v>
      </c>
      <c r="L192">
        <v>5</v>
      </c>
      <c r="M192">
        <v>51000</v>
      </c>
      <c r="N192">
        <v>15</v>
      </c>
      <c r="O192">
        <v>5898.76</v>
      </c>
    </row>
    <row r="193" spans="1:15" x14ac:dyDescent="0.3">
      <c r="A193" t="s">
        <v>507</v>
      </c>
      <c r="B193" t="s">
        <v>225</v>
      </c>
      <c r="C193" t="s">
        <v>508</v>
      </c>
      <c r="D193" t="s">
        <v>55</v>
      </c>
      <c r="E193" t="s">
        <v>119</v>
      </c>
      <c r="F193" t="s">
        <v>31</v>
      </c>
      <c r="G193" t="s">
        <v>120</v>
      </c>
      <c r="H193" t="s">
        <v>22</v>
      </c>
      <c r="I193" t="s">
        <v>155</v>
      </c>
      <c r="J193" t="s">
        <v>156</v>
      </c>
      <c r="K193" t="s">
        <v>43</v>
      </c>
      <c r="L193">
        <v>1</v>
      </c>
      <c r="M193">
        <v>8075</v>
      </c>
      <c r="N193">
        <v>5</v>
      </c>
      <c r="O193">
        <v>1577.91</v>
      </c>
    </row>
    <row r="194" spans="1:15" x14ac:dyDescent="0.3">
      <c r="A194" t="s">
        <v>509</v>
      </c>
      <c r="B194" t="s">
        <v>97</v>
      </c>
      <c r="C194" t="s">
        <v>65</v>
      </c>
      <c r="D194" t="s">
        <v>39</v>
      </c>
      <c r="E194" t="s">
        <v>56</v>
      </c>
      <c r="F194" t="s">
        <v>57</v>
      </c>
      <c r="G194" t="s">
        <v>58</v>
      </c>
      <c r="H194" t="s">
        <v>59</v>
      </c>
      <c r="I194" t="s">
        <v>93</v>
      </c>
      <c r="J194" t="s">
        <v>94</v>
      </c>
      <c r="K194" t="s">
        <v>43</v>
      </c>
      <c r="L194">
        <v>4</v>
      </c>
      <c r="M194">
        <v>1400</v>
      </c>
      <c r="N194">
        <v>0</v>
      </c>
      <c r="O194">
        <v>286.58999999999997</v>
      </c>
    </row>
    <row r="195" spans="1:15" x14ac:dyDescent="0.3">
      <c r="A195" t="s">
        <v>510</v>
      </c>
      <c r="B195" t="s">
        <v>365</v>
      </c>
      <c r="C195" t="s">
        <v>511</v>
      </c>
      <c r="D195" t="s">
        <v>102</v>
      </c>
      <c r="E195" t="s">
        <v>130</v>
      </c>
      <c r="F195" t="s">
        <v>131</v>
      </c>
      <c r="G195" t="s">
        <v>132</v>
      </c>
      <c r="H195" t="s">
        <v>33</v>
      </c>
      <c r="I195" t="s">
        <v>34</v>
      </c>
      <c r="J195" t="s">
        <v>35</v>
      </c>
      <c r="K195" t="s">
        <v>43</v>
      </c>
      <c r="L195">
        <v>5</v>
      </c>
      <c r="M195">
        <v>1912.5</v>
      </c>
      <c r="N195">
        <v>15</v>
      </c>
      <c r="O195">
        <v>322.01</v>
      </c>
    </row>
    <row r="196" spans="1:15" x14ac:dyDescent="0.3">
      <c r="A196" t="s">
        <v>512</v>
      </c>
      <c r="B196" t="s">
        <v>513</v>
      </c>
      <c r="C196" t="s">
        <v>360</v>
      </c>
      <c r="D196" t="s">
        <v>39</v>
      </c>
      <c r="E196" t="s">
        <v>19</v>
      </c>
      <c r="F196" t="s">
        <v>20</v>
      </c>
      <c r="G196" t="s">
        <v>21</v>
      </c>
      <c r="H196" t="s">
        <v>40</v>
      </c>
      <c r="I196" t="s">
        <v>50</v>
      </c>
      <c r="J196" t="s">
        <v>51</v>
      </c>
      <c r="K196" t="s">
        <v>25</v>
      </c>
      <c r="L196">
        <v>3</v>
      </c>
      <c r="M196">
        <v>132000</v>
      </c>
      <c r="N196">
        <v>20</v>
      </c>
      <c r="O196">
        <v>28768.27</v>
      </c>
    </row>
    <row r="197" spans="1:15" x14ac:dyDescent="0.3">
      <c r="A197" t="s">
        <v>514</v>
      </c>
      <c r="B197" t="s">
        <v>515</v>
      </c>
      <c r="C197" t="s">
        <v>256</v>
      </c>
      <c r="D197" t="s">
        <v>85</v>
      </c>
      <c r="E197" t="s">
        <v>113</v>
      </c>
      <c r="F197" t="s">
        <v>114</v>
      </c>
      <c r="G197" t="s">
        <v>115</v>
      </c>
      <c r="H197" t="s">
        <v>22</v>
      </c>
      <c r="I197" t="s">
        <v>23</v>
      </c>
      <c r="J197" t="s">
        <v>24</v>
      </c>
      <c r="K197" t="s">
        <v>25</v>
      </c>
      <c r="L197">
        <v>5</v>
      </c>
      <c r="M197">
        <v>8100</v>
      </c>
      <c r="N197">
        <v>10</v>
      </c>
      <c r="O197">
        <v>1431.76</v>
      </c>
    </row>
    <row r="198" spans="1:15" x14ac:dyDescent="0.3">
      <c r="A198" t="s">
        <v>516</v>
      </c>
      <c r="B198" t="s">
        <v>142</v>
      </c>
      <c r="C198" t="s">
        <v>186</v>
      </c>
      <c r="D198" t="s">
        <v>47</v>
      </c>
      <c r="E198" t="s">
        <v>66</v>
      </c>
      <c r="F198" t="s">
        <v>20</v>
      </c>
      <c r="G198" t="s">
        <v>67</v>
      </c>
      <c r="H198" t="s">
        <v>33</v>
      </c>
      <c r="I198" t="s">
        <v>68</v>
      </c>
      <c r="J198" t="s">
        <v>69</v>
      </c>
      <c r="K198" t="s">
        <v>25</v>
      </c>
      <c r="L198">
        <v>1</v>
      </c>
      <c r="M198">
        <v>12000</v>
      </c>
      <c r="N198">
        <v>0</v>
      </c>
      <c r="O198">
        <v>2070.79</v>
      </c>
    </row>
    <row r="199" spans="1:15" x14ac:dyDescent="0.3">
      <c r="A199" t="s">
        <v>517</v>
      </c>
      <c r="B199" t="s">
        <v>440</v>
      </c>
      <c r="C199" t="s">
        <v>513</v>
      </c>
      <c r="D199" t="s">
        <v>98</v>
      </c>
      <c r="E199" t="s">
        <v>19</v>
      </c>
      <c r="F199" t="s">
        <v>20</v>
      </c>
      <c r="G199" t="s">
        <v>21</v>
      </c>
      <c r="H199" t="s">
        <v>33</v>
      </c>
      <c r="I199" t="s">
        <v>68</v>
      </c>
      <c r="J199" t="s">
        <v>133</v>
      </c>
      <c r="K199" t="s">
        <v>43</v>
      </c>
      <c r="L199">
        <v>3</v>
      </c>
      <c r="M199">
        <v>132000</v>
      </c>
      <c r="N199">
        <v>20</v>
      </c>
      <c r="O199">
        <v>11202.71</v>
      </c>
    </row>
    <row r="200" spans="1:15" x14ac:dyDescent="0.3">
      <c r="A200" t="s">
        <v>518</v>
      </c>
      <c r="B200" t="s">
        <v>519</v>
      </c>
      <c r="C200" t="s">
        <v>374</v>
      </c>
      <c r="D200" t="s">
        <v>85</v>
      </c>
      <c r="E200" t="s">
        <v>56</v>
      </c>
      <c r="F200" t="s">
        <v>57</v>
      </c>
      <c r="G200" t="s">
        <v>58</v>
      </c>
      <c r="H200" t="s">
        <v>22</v>
      </c>
      <c r="I200" t="s">
        <v>23</v>
      </c>
      <c r="J200" t="s">
        <v>24</v>
      </c>
      <c r="K200" t="s">
        <v>62</v>
      </c>
      <c r="L200">
        <v>4</v>
      </c>
      <c r="M200">
        <v>1330</v>
      </c>
      <c r="N200">
        <v>5</v>
      </c>
      <c r="O200">
        <v>231.8</v>
      </c>
    </row>
    <row r="201" spans="1:15" x14ac:dyDescent="0.3">
      <c r="A201" t="s">
        <v>520</v>
      </c>
      <c r="B201" t="s">
        <v>521</v>
      </c>
      <c r="C201" t="s">
        <v>419</v>
      </c>
      <c r="D201" t="s">
        <v>55</v>
      </c>
      <c r="E201" t="s">
        <v>56</v>
      </c>
      <c r="F201" t="s">
        <v>57</v>
      </c>
      <c r="G201" t="s">
        <v>58</v>
      </c>
      <c r="H201" t="s">
        <v>33</v>
      </c>
      <c r="I201" t="s">
        <v>68</v>
      </c>
      <c r="J201" t="s">
        <v>69</v>
      </c>
      <c r="K201" t="s">
        <v>43</v>
      </c>
      <c r="L201">
        <v>4</v>
      </c>
      <c r="M201">
        <v>1400</v>
      </c>
      <c r="N201">
        <v>0</v>
      </c>
      <c r="O201">
        <v>265.67</v>
      </c>
    </row>
    <row r="202" spans="1:15" x14ac:dyDescent="0.3">
      <c r="A202" t="s">
        <v>522</v>
      </c>
      <c r="B202" t="s">
        <v>229</v>
      </c>
      <c r="C202" t="s">
        <v>84</v>
      </c>
      <c r="D202" t="s">
        <v>85</v>
      </c>
      <c r="E202" t="s">
        <v>56</v>
      </c>
      <c r="F202" t="s">
        <v>57</v>
      </c>
      <c r="G202" t="s">
        <v>58</v>
      </c>
      <c r="H202" t="s">
        <v>40</v>
      </c>
      <c r="I202" t="s">
        <v>41</v>
      </c>
      <c r="J202" t="s">
        <v>42</v>
      </c>
      <c r="K202" t="s">
        <v>62</v>
      </c>
      <c r="L202">
        <v>3</v>
      </c>
      <c r="M202">
        <v>997.5</v>
      </c>
      <c r="N202">
        <v>5</v>
      </c>
      <c r="O202">
        <v>127.86</v>
      </c>
    </row>
    <row r="203" spans="1:15" x14ac:dyDescent="0.3">
      <c r="A203" t="s">
        <v>523</v>
      </c>
      <c r="B203" t="s">
        <v>191</v>
      </c>
      <c r="C203" t="s">
        <v>519</v>
      </c>
      <c r="D203" t="s">
        <v>102</v>
      </c>
      <c r="E203" t="s">
        <v>119</v>
      </c>
      <c r="F203" t="s">
        <v>31</v>
      </c>
      <c r="G203" t="s">
        <v>120</v>
      </c>
      <c r="H203" t="s">
        <v>22</v>
      </c>
      <c r="I203" t="s">
        <v>155</v>
      </c>
      <c r="J203" t="s">
        <v>156</v>
      </c>
      <c r="K203" t="s">
        <v>81</v>
      </c>
      <c r="L203">
        <v>2</v>
      </c>
      <c r="M203">
        <v>15300</v>
      </c>
      <c r="N203">
        <v>10</v>
      </c>
      <c r="O203">
        <v>3230.43</v>
      </c>
    </row>
    <row r="204" spans="1:15" x14ac:dyDescent="0.3">
      <c r="A204" t="s">
        <v>524</v>
      </c>
      <c r="B204" t="s">
        <v>503</v>
      </c>
      <c r="C204" t="s">
        <v>250</v>
      </c>
      <c r="D204" t="s">
        <v>47</v>
      </c>
      <c r="E204" t="s">
        <v>30</v>
      </c>
      <c r="F204" t="s">
        <v>31</v>
      </c>
      <c r="G204" t="s">
        <v>32</v>
      </c>
      <c r="H204" t="s">
        <v>59</v>
      </c>
      <c r="I204" t="s">
        <v>93</v>
      </c>
      <c r="J204" t="s">
        <v>94</v>
      </c>
      <c r="K204" t="s">
        <v>43</v>
      </c>
      <c r="L204">
        <v>2</v>
      </c>
      <c r="M204">
        <v>11050</v>
      </c>
      <c r="N204">
        <v>15</v>
      </c>
      <c r="O204">
        <v>1550.63</v>
      </c>
    </row>
    <row r="205" spans="1:15" x14ac:dyDescent="0.3">
      <c r="A205" t="s">
        <v>525</v>
      </c>
      <c r="B205" t="s">
        <v>526</v>
      </c>
      <c r="C205" t="s">
        <v>399</v>
      </c>
      <c r="D205" t="s">
        <v>80</v>
      </c>
      <c r="E205" t="s">
        <v>113</v>
      </c>
      <c r="F205" t="s">
        <v>114</v>
      </c>
      <c r="G205" t="s">
        <v>115</v>
      </c>
      <c r="H205" t="s">
        <v>40</v>
      </c>
      <c r="I205" t="s">
        <v>41</v>
      </c>
      <c r="J205" t="s">
        <v>42</v>
      </c>
      <c r="K205" t="s">
        <v>43</v>
      </c>
      <c r="L205">
        <v>4</v>
      </c>
      <c r="M205">
        <v>6840</v>
      </c>
      <c r="N205">
        <v>5</v>
      </c>
      <c r="O205">
        <v>1024.95</v>
      </c>
    </row>
    <row r="206" spans="1:15" x14ac:dyDescent="0.3">
      <c r="A206" t="s">
        <v>527</v>
      </c>
      <c r="B206" t="s">
        <v>145</v>
      </c>
      <c r="C206" t="s">
        <v>471</v>
      </c>
      <c r="D206" t="s">
        <v>80</v>
      </c>
      <c r="E206" t="s">
        <v>106</v>
      </c>
      <c r="F206" t="s">
        <v>20</v>
      </c>
      <c r="G206" t="s">
        <v>49</v>
      </c>
      <c r="H206" t="s">
        <v>40</v>
      </c>
      <c r="I206" t="s">
        <v>50</v>
      </c>
      <c r="J206" t="s">
        <v>51</v>
      </c>
      <c r="K206" t="s">
        <v>43</v>
      </c>
      <c r="L206">
        <v>1</v>
      </c>
      <c r="M206">
        <v>1870</v>
      </c>
      <c r="N206">
        <v>15</v>
      </c>
      <c r="O206">
        <v>175.86</v>
      </c>
    </row>
    <row r="207" spans="1:15" x14ac:dyDescent="0.3">
      <c r="A207" t="s">
        <v>528</v>
      </c>
      <c r="B207" t="s">
        <v>500</v>
      </c>
      <c r="C207" t="s">
        <v>529</v>
      </c>
      <c r="D207" t="s">
        <v>85</v>
      </c>
      <c r="E207" t="s">
        <v>130</v>
      </c>
      <c r="F207" t="s">
        <v>131</v>
      </c>
      <c r="G207" t="s">
        <v>132</v>
      </c>
      <c r="H207" t="s">
        <v>59</v>
      </c>
      <c r="I207" t="s">
        <v>60</v>
      </c>
      <c r="J207" t="s">
        <v>61</v>
      </c>
      <c r="K207" t="s">
        <v>43</v>
      </c>
      <c r="L207">
        <v>2</v>
      </c>
      <c r="M207">
        <v>810</v>
      </c>
      <c r="N207">
        <v>10</v>
      </c>
      <c r="O207">
        <v>68.41</v>
      </c>
    </row>
    <row r="208" spans="1:15" x14ac:dyDescent="0.3">
      <c r="A208" t="s">
        <v>530</v>
      </c>
      <c r="B208" t="s">
        <v>333</v>
      </c>
      <c r="C208" t="s">
        <v>76</v>
      </c>
      <c r="D208" t="s">
        <v>80</v>
      </c>
      <c r="E208" t="s">
        <v>19</v>
      </c>
      <c r="F208" t="s">
        <v>20</v>
      </c>
      <c r="G208" t="s">
        <v>21</v>
      </c>
      <c r="H208" t="s">
        <v>40</v>
      </c>
      <c r="I208" t="s">
        <v>50</v>
      </c>
      <c r="J208" t="s">
        <v>51</v>
      </c>
      <c r="K208" t="s">
        <v>62</v>
      </c>
      <c r="L208">
        <v>2</v>
      </c>
      <c r="M208">
        <v>104500</v>
      </c>
      <c r="N208">
        <v>5</v>
      </c>
      <c r="O208">
        <v>15548.24</v>
      </c>
    </row>
    <row r="209" spans="1:15" x14ac:dyDescent="0.3">
      <c r="A209" t="s">
        <v>531</v>
      </c>
      <c r="B209" t="s">
        <v>532</v>
      </c>
      <c r="C209" t="s">
        <v>533</v>
      </c>
      <c r="D209" t="s">
        <v>73</v>
      </c>
      <c r="E209" t="s">
        <v>89</v>
      </c>
      <c r="F209" t="s">
        <v>20</v>
      </c>
      <c r="G209" t="s">
        <v>49</v>
      </c>
      <c r="H209" t="s">
        <v>59</v>
      </c>
      <c r="I209" t="s">
        <v>93</v>
      </c>
      <c r="J209" t="s">
        <v>94</v>
      </c>
      <c r="K209" t="s">
        <v>81</v>
      </c>
      <c r="L209">
        <v>4</v>
      </c>
      <c r="M209">
        <v>3240</v>
      </c>
      <c r="N209">
        <v>10</v>
      </c>
      <c r="O209">
        <v>510.5</v>
      </c>
    </row>
    <row r="210" spans="1:15" x14ac:dyDescent="0.3">
      <c r="A210" t="s">
        <v>534</v>
      </c>
      <c r="B210" t="s">
        <v>364</v>
      </c>
      <c r="C210" t="s">
        <v>305</v>
      </c>
      <c r="D210" t="s">
        <v>80</v>
      </c>
      <c r="E210" t="s">
        <v>56</v>
      </c>
      <c r="F210" t="s">
        <v>57</v>
      </c>
      <c r="G210" t="s">
        <v>58</v>
      </c>
      <c r="H210" t="s">
        <v>40</v>
      </c>
      <c r="I210" t="s">
        <v>41</v>
      </c>
      <c r="J210" t="s">
        <v>42</v>
      </c>
      <c r="K210" t="s">
        <v>81</v>
      </c>
      <c r="L210">
        <v>2</v>
      </c>
      <c r="M210">
        <v>630</v>
      </c>
      <c r="N210">
        <v>10</v>
      </c>
      <c r="O210">
        <v>106.4</v>
      </c>
    </row>
    <row r="211" spans="1:15" x14ac:dyDescent="0.3">
      <c r="A211" t="s">
        <v>535</v>
      </c>
      <c r="B211" t="s">
        <v>463</v>
      </c>
      <c r="C211" t="s">
        <v>358</v>
      </c>
      <c r="D211" t="s">
        <v>98</v>
      </c>
      <c r="E211" t="s">
        <v>106</v>
      </c>
      <c r="F211" t="s">
        <v>20</v>
      </c>
      <c r="G211" t="s">
        <v>49</v>
      </c>
      <c r="H211" t="s">
        <v>40</v>
      </c>
      <c r="I211" t="s">
        <v>41</v>
      </c>
      <c r="J211" t="s">
        <v>42</v>
      </c>
      <c r="K211" t="s">
        <v>25</v>
      </c>
      <c r="L211">
        <v>4</v>
      </c>
      <c r="M211">
        <v>8360</v>
      </c>
      <c r="N211">
        <v>5</v>
      </c>
      <c r="O211">
        <v>1176.23</v>
      </c>
    </row>
    <row r="212" spans="1:15" x14ac:dyDescent="0.3">
      <c r="A212" t="s">
        <v>536</v>
      </c>
      <c r="B212" t="s">
        <v>314</v>
      </c>
      <c r="C212" t="s">
        <v>144</v>
      </c>
      <c r="D212" t="s">
        <v>85</v>
      </c>
      <c r="E212" t="s">
        <v>89</v>
      </c>
      <c r="F212" t="s">
        <v>20</v>
      </c>
      <c r="G212" t="s">
        <v>49</v>
      </c>
      <c r="H212" t="s">
        <v>22</v>
      </c>
      <c r="I212" t="s">
        <v>155</v>
      </c>
      <c r="J212" t="s">
        <v>156</v>
      </c>
      <c r="K212" t="s">
        <v>62</v>
      </c>
      <c r="L212">
        <v>5</v>
      </c>
      <c r="M212">
        <v>4500</v>
      </c>
      <c r="N212">
        <v>0</v>
      </c>
      <c r="O212">
        <v>592.79999999999995</v>
      </c>
    </row>
    <row r="213" spans="1:15" x14ac:dyDescent="0.3">
      <c r="A213" t="s">
        <v>537</v>
      </c>
      <c r="B213" t="s">
        <v>340</v>
      </c>
      <c r="C213" t="s">
        <v>28</v>
      </c>
      <c r="D213" t="s">
        <v>102</v>
      </c>
      <c r="E213" t="s">
        <v>48</v>
      </c>
      <c r="F213" t="s">
        <v>20</v>
      </c>
      <c r="G213" t="s">
        <v>49</v>
      </c>
      <c r="H213" t="s">
        <v>22</v>
      </c>
      <c r="I213" t="s">
        <v>155</v>
      </c>
      <c r="J213" t="s">
        <v>156</v>
      </c>
      <c r="K213" t="s">
        <v>43</v>
      </c>
      <c r="L213">
        <v>2</v>
      </c>
      <c r="M213">
        <v>2850</v>
      </c>
      <c r="N213">
        <v>5</v>
      </c>
      <c r="O213">
        <v>559.28</v>
      </c>
    </row>
    <row r="214" spans="1:15" x14ac:dyDescent="0.3">
      <c r="A214" t="s">
        <v>538</v>
      </c>
      <c r="B214" t="s">
        <v>64</v>
      </c>
      <c r="C214" t="s">
        <v>237</v>
      </c>
      <c r="D214" t="s">
        <v>80</v>
      </c>
      <c r="E214" t="s">
        <v>113</v>
      </c>
      <c r="F214" t="s">
        <v>114</v>
      </c>
      <c r="G214" t="s">
        <v>115</v>
      </c>
      <c r="H214" t="s">
        <v>22</v>
      </c>
      <c r="I214" t="s">
        <v>155</v>
      </c>
      <c r="J214" t="s">
        <v>156</v>
      </c>
      <c r="K214" t="s">
        <v>62</v>
      </c>
      <c r="L214">
        <v>2</v>
      </c>
      <c r="M214">
        <v>2880</v>
      </c>
      <c r="N214">
        <v>20</v>
      </c>
      <c r="O214">
        <v>255.59</v>
      </c>
    </row>
    <row r="215" spans="1:15" x14ac:dyDescent="0.3">
      <c r="A215" t="s">
        <v>539</v>
      </c>
      <c r="B215" t="s">
        <v>435</v>
      </c>
      <c r="C215" t="s">
        <v>220</v>
      </c>
      <c r="D215" t="s">
        <v>85</v>
      </c>
      <c r="E215" t="s">
        <v>56</v>
      </c>
      <c r="F215" t="s">
        <v>57</v>
      </c>
      <c r="G215" t="s">
        <v>58</v>
      </c>
      <c r="H215" t="s">
        <v>40</v>
      </c>
      <c r="I215" t="s">
        <v>50</v>
      </c>
      <c r="J215" t="s">
        <v>51</v>
      </c>
      <c r="K215" t="s">
        <v>62</v>
      </c>
      <c r="L215">
        <v>4</v>
      </c>
      <c r="M215">
        <v>1190</v>
      </c>
      <c r="N215">
        <v>15</v>
      </c>
      <c r="O215">
        <v>202.18</v>
      </c>
    </row>
    <row r="216" spans="1:15" x14ac:dyDescent="0.3">
      <c r="A216" t="s">
        <v>540</v>
      </c>
      <c r="B216" t="s">
        <v>541</v>
      </c>
      <c r="C216" t="s">
        <v>75</v>
      </c>
      <c r="D216" t="s">
        <v>39</v>
      </c>
      <c r="E216" t="s">
        <v>19</v>
      </c>
      <c r="F216" t="s">
        <v>20</v>
      </c>
      <c r="G216" t="s">
        <v>21</v>
      </c>
      <c r="H216" t="s">
        <v>59</v>
      </c>
      <c r="I216" t="s">
        <v>93</v>
      </c>
      <c r="J216" t="s">
        <v>94</v>
      </c>
      <c r="K216" t="s">
        <v>81</v>
      </c>
      <c r="L216">
        <v>3</v>
      </c>
      <c r="M216">
        <v>148500</v>
      </c>
      <c r="N216">
        <v>10</v>
      </c>
      <c r="O216">
        <v>14203.03</v>
      </c>
    </row>
    <row r="217" spans="1:15" x14ac:dyDescent="0.3">
      <c r="A217" t="s">
        <v>542</v>
      </c>
      <c r="B217" t="s">
        <v>125</v>
      </c>
      <c r="C217" t="s">
        <v>126</v>
      </c>
      <c r="D217" t="s">
        <v>85</v>
      </c>
      <c r="E217" t="s">
        <v>113</v>
      </c>
      <c r="F217" t="s">
        <v>114</v>
      </c>
      <c r="G217" t="s">
        <v>115</v>
      </c>
      <c r="H217" t="s">
        <v>33</v>
      </c>
      <c r="I217" t="s">
        <v>34</v>
      </c>
      <c r="J217" t="s">
        <v>35</v>
      </c>
      <c r="K217" t="s">
        <v>81</v>
      </c>
      <c r="L217">
        <v>4</v>
      </c>
      <c r="M217">
        <v>5760</v>
      </c>
      <c r="N217">
        <v>20</v>
      </c>
      <c r="O217">
        <v>806.16</v>
      </c>
    </row>
    <row r="218" spans="1:15" x14ac:dyDescent="0.3">
      <c r="A218" t="s">
        <v>543</v>
      </c>
      <c r="B218" t="s">
        <v>164</v>
      </c>
      <c r="C218" t="s">
        <v>165</v>
      </c>
      <c r="D218" t="s">
        <v>80</v>
      </c>
      <c r="E218" t="s">
        <v>119</v>
      </c>
      <c r="F218" t="s">
        <v>31</v>
      </c>
      <c r="G218" t="s">
        <v>120</v>
      </c>
      <c r="H218" t="s">
        <v>59</v>
      </c>
      <c r="I218" t="s">
        <v>60</v>
      </c>
      <c r="J218" t="s">
        <v>61</v>
      </c>
      <c r="K218" t="s">
        <v>43</v>
      </c>
      <c r="L218">
        <v>1</v>
      </c>
      <c r="M218">
        <v>8500</v>
      </c>
      <c r="N218">
        <v>0</v>
      </c>
      <c r="O218">
        <v>1016.22</v>
      </c>
    </row>
    <row r="219" spans="1:15" x14ac:dyDescent="0.3">
      <c r="A219" t="s">
        <v>544</v>
      </c>
      <c r="B219" t="s">
        <v>191</v>
      </c>
      <c r="C219" t="s">
        <v>374</v>
      </c>
      <c r="D219" t="s">
        <v>98</v>
      </c>
      <c r="E219" t="s">
        <v>30</v>
      </c>
      <c r="F219" t="s">
        <v>31</v>
      </c>
      <c r="G219" t="s">
        <v>32</v>
      </c>
      <c r="H219" t="s">
        <v>40</v>
      </c>
      <c r="I219" t="s">
        <v>50</v>
      </c>
      <c r="J219" t="s">
        <v>51</v>
      </c>
      <c r="K219" t="s">
        <v>62</v>
      </c>
      <c r="L219">
        <v>4</v>
      </c>
      <c r="M219">
        <v>23400</v>
      </c>
      <c r="N219">
        <v>10</v>
      </c>
      <c r="O219">
        <v>4679.01</v>
      </c>
    </row>
    <row r="220" spans="1:15" x14ac:dyDescent="0.3">
      <c r="A220" t="s">
        <v>545</v>
      </c>
      <c r="B220" t="s">
        <v>546</v>
      </c>
      <c r="C220" t="s">
        <v>547</v>
      </c>
      <c r="D220" t="s">
        <v>85</v>
      </c>
      <c r="E220" t="s">
        <v>113</v>
      </c>
      <c r="F220" t="s">
        <v>114</v>
      </c>
      <c r="G220" t="s">
        <v>115</v>
      </c>
      <c r="H220" t="s">
        <v>33</v>
      </c>
      <c r="I220" t="s">
        <v>68</v>
      </c>
      <c r="J220" t="s">
        <v>133</v>
      </c>
      <c r="K220" t="s">
        <v>81</v>
      </c>
      <c r="L220">
        <v>3</v>
      </c>
      <c r="M220">
        <v>4320</v>
      </c>
      <c r="N220">
        <v>20</v>
      </c>
      <c r="O220">
        <v>345.74</v>
      </c>
    </row>
    <row r="221" spans="1:15" x14ac:dyDescent="0.3">
      <c r="A221" t="s">
        <v>548</v>
      </c>
      <c r="B221" t="s">
        <v>381</v>
      </c>
      <c r="C221" t="s">
        <v>549</v>
      </c>
      <c r="D221" t="s">
        <v>98</v>
      </c>
      <c r="E221" t="s">
        <v>19</v>
      </c>
      <c r="F221" t="s">
        <v>20</v>
      </c>
      <c r="G221" t="s">
        <v>21</v>
      </c>
      <c r="H221" t="s">
        <v>22</v>
      </c>
      <c r="I221" t="s">
        <v>23</v>
      </c>
      <c r="J221" t="s">
        <v>24</v>
      </c>
      <c r="K221" t="s">
        <v>81</v>
      </c>
      <c r="L221">
        <v>5</v>
      </c>
      <c r="M221">
        <v>233750</v>
      </c>
      <c r="N221">
        <v>15</v>
      </c>
      <c r="O221">
        <v>20495.11</v>
      </c>
    </row>
    <row r="222" spans="1:15" x14ac:dyDescent="0.3">
      <c r="A222" t="s">
        <v>550</v>
      </c>
      <c r="B222" t="s">
        <v>515</v>
      </c>
      <c r="C222" t="s">
        <v>84</v>
      </c>
      <c r="D222" t="s">
        <v>29</v>
      </c>
      <c r="E222" t="s">
        <v>130</v>
      </c>
      <c r="F222" t="s">
        <v>131</v>
      </c>
      <c r="G222" t="s">
        <v>132</v>
      </c>
      <c r="H222" t="s">
        <v>22</v>
      </c>
      <c r="I222" t="s">
        <v>155</v>
      </c>
      <c r="J222" t="s">
        <v>156</v>
      </c>
      <c r="K222" t="s">
        <v>43</v>
      </c>
      <c r="L222">
        <v>1</v>
      </c>
      <c r="M222">
        <v>427.5</v>
      </c>
      <c r="N222">
        <v>5</v>
      </c>
      <c r="O222">
        <v>86.39</v>
      </c>
    </row>
    <row r="223" spans="1:15" x14ac:dyDescent="0.3">
      <c r="A223" t="s">
        <v>551</v>
      </c>
      <c r="B223" t="s">
        <v>552</v>
      </c>
      <c r="C223" t="s">
        <v>341</v>
      </c>
      <c r="D223" t="s">
        <v>85</v>
      </c>
      <c r="E223" t="s">
        <v>89</v>
      </c>
      <c r="F223" t="s">
        <v>20</v>
      </c>
      <c r="G223" t="s">
        <v>49</v>
      </c>
      <c r="H223" t="s">
        <v>33</v>
      </c>
      <c r="I223" t="s">
        <v>34</v>
      </c>
      <c r="J223" t="s">
        <v>35</v>
      </c>
      <c r="K223" t="s">
        <v>25</v>
      </c>
      <c r="L223">
        <v>5</v>
      </c>
      <c r="M223">
        <v>3825</v>
      </c>
      <c r="N223">
        <v>15</v>
      </c>
      <c r="O223">
        <v>736.66</v>
      </c>
    </row>
    <row r="224" spans="1:15" x14ac:dyDescent="0.3">
      <c r="A224" t="s">
        <v>553</v>
      </c>
      <c r="B224" t="s">
        <v>211</v>
      </c>
      <c r="C224" t="s">
        <v>212</v>
      </c>
      <c r="D224" t="s">
        <v>39</v>
      </c>
      <c r="E224" t="s">
        <v>113</v>
      </c>
      <c r="F224" t="s">
        <v>114</v>
      </c>
      <c r="G224" t="s">
        <v>115</v>
      </c>
      <c r="H224" t="s">
        <v>33</v>
      </c>
      <c r="I224" t="s">
        <v>34</v>
      </c>
      <c r="J224" t="s">
        <v>35</v>
      </c>
      <c r="K224" t="s">
        <v>62</v>
      </c>
      <c r="L224">
        <v>1</v>
      </c>
      <c r="M224">
        <v>1800</v>
      </c>
      <c r="N224">
        <v>0</v>
      </c>
      <c r="O224">
        <v>329.02</v>
      </c>
    </row>
    <row r="225" spans="1:15" x14ac:dyDescent="0.3">
      <c r="A225" t="s">
        <v>554</v>
      </c>
      <c r="B225" t="s">
        <v>37</v>
      </c>
      <c r="C225" t="s">
        <v>378</v>
      </c>
      <c r="D225" t="s">
        <v>85</v>
      </c>
      <c r="E225" t="s">
        <v>56</v>
      </c>
      <c r="F225" t="s">
        <v>57</v>
      </c>
      <c r="G225" t="s">
        <v>58</v>
      </c>
      <c r="H225" t="s">
        <v>22</v>
      </c>
      <c r="I225" t="s">
        <v>23</v>
      </c>
      <c r="J225" t="s">
        <v>24</v>
      </c>
      <c r="K225" t="s">
        <v>43</v>
      </c>
      <c r="L225">
        <v>3</v>
      </c>
      <c r="M225">
        <v>892.5</v>
      </c>
      <c r="N225">
        <v>15</v>
      </c>
      <c r="O225">
        <v>89.95</v>
      </c>
    </row>
    <row r="226" spans="1:15" x14ac:dyDescent="0.3">
      <c r="A226" t="s">
        <v>555</v>
      </c>
      <c r="B226" t="s">
        <v>467</v>
      </c>
      <c r="C226" t="s">
        <v>411</v>
      </c>
      <c r="D226" t="s">
        <v>98</v>
      </c>
      <c r="E226" t="s">
        <v>106</v>
      </c>
      <c r="F226" t="s">
        <v>20</v>
      </c>
      <c r="G226" t="s">
        <v>49</v>
      </c>
      <c r="H226" t="s">
        <v>59</v>
      </c>
      <c r="I226" t="s">
        <v>93</v>
      </c>
      <c r="J226" t="s">
        <v>94</v>
      </c>
      <c r="K226" t="s">
        <v>43</v>
      </c>
      <c r="L226">
        <v>5</v>
      </c>
      <c r="M226">
        <v>9350</v>
      </c>
      <c r="N226">
        <v>15</v>
      </c>
      <c r="O226">
        <v>827.81</v>
      </c>
    </row>
    <row r="227" spans="1:15" x14ac:dyDescent="0.3">
      <c r="A227" t="s">
        <v>556</v>
      </c>
      <c r="B227" t="s">
        <v>557</v>
      </c>
      <c r="C227" t="s">
        <v>558</v>
      </c>
      <c r="D227" t="s">
        <v>29</v>
      </c>
      <c r="E227" t="s">
        <v>48</v>
      </c>
      <c r="F227" t="s">
        <v>20</v>
      </c>
      <c r="G227" t="s">
        <v>49</v>
      </c>
      <c r="H227" t="s">
        <v>40</v>
      </c>
      <c r="I227" t="s">
        <v>41</v>
      </c>
      <c r="J227" t="s">
        <v>42</v>
      </c>
      <c r="K227" t="s">
        <v>62</v>
      </c>
      <c r="L227">
        <v>5</v>
      </c>
      <c r="M227">
        <v>6750</v>
      </c>
      <c r="N227">
        <v>10</v>
      </c>
      <c r="O227">
        <v>1249.3499999999999</v>
      </c>
    </row>
    <row r="228" spans="1:15" x14ac:dyDescent="0.3">
      <c r="A228" t="s">
        <v>559</v>
      </c>
      <c r="B228" t="s">
        <v>27</v>
      </c>
      <c r="C228" t="s">
        <v>341</v>
      </c>
      <c r="D228" t="s">
        <v>85</v>
      </c>
      <c r="E228" t="s">
        <v>89</v>
      </c>
      <c r="F228" t="s">
        <v>20</v>
      </c>
      <c r="G228" t="s">
        <v>49</v>
      </c>
      <c r="H228" t="s">
        <v>59</v>
      </c>
      <c r="I228" t="s">
        <v>93</v>
      </c>
      <c r="J228" t="s">
        <v>94</v>
      </c>
      <c r="K228" t="s">
        <v>43</v>
      </c>
      <c r="L228">
        <v>5</v>
      </c>
      <c r="M228">
        <v>4050</v>
      </c>
      <c r="N228">
        <v>10</v>
      </c>
      <c r="O228">
        <v>394.57</v>
      </c>
    </row>
    <row r="229" spans="1:15" x14ac:dyDescent="0.3">
      <c r="A229" t="s">
        <v>560</v>
      </c>
      <c r="B229" t="s">
        <v>228</v>
      </c>
      <c r="C229" t="s">
        <v>288</v>
      </c>
      <c r="D229" t="s">
        <v>18</v>
      </c>
      <c r="E229" t="s">
        <v>130</v>
      </c>
      <c r="F229" t="s">
        <v>131</v>
      </c>
      <c r="G229" t="s">
        <v>132</v>
      </c>
      <c r="H229" t="s">
        <v>40</v>
      </c>
      <c r="I229" t="s">
        <v>50</v>
      </c>
      <c r="J229" t="s">
        <v>51</v>
      </c>
      <c r="K229" t="s">
        <v>81</v>
      </c>
      <c r="L229">
        <v>5</v>
      </c>
      <c r="M229">
        <v>2250</v>
      </c>
      <c r="N229">
        <v>0</v>
      </c>
      <c r="O229">
        <v>330.92</v>
      </c>
    </row>
    <row r="230" spans="1:15" x14ac:dyDescent="0.3">
      <c r="A230" t="s">
        <v>561</v>
      </c>
      <c r="B230" t="s">
        <v>562</v>
      </c>
      <c r="C230" t="s">
        <v>198</v>
      </c>
      <c r="D230" t="s">
        <v>85</v>
      </c>
      <c r="E230" t="s">
        <v>19</v>
      </c>
      <c r="F230" t="s">
        <v>20</v>
      </c>
      <c r="G230" t="s">
        <v>21</v>
      </c>
      <c r="H230" t="s">
        <v>59</v>
      </c>
      <c r="I230" t="s">
        <v>93</v>
      </c>
      <c r="J230" t="s">
        <v>94</v>
      </c>
      <c r="K230" t="s">
        <v>43</v>
      </c>
      <c r="L230">
        <v>2</v>
      </c>
      <c r="M230">
        <v>104500</v>
      </c>
      <c r="N230">
        <v>5</v>
      </c>
      <c r="O230">
        <v>14589.17</v>
      </c>
    </row>
    <row r="231" spans="1:15" x14ac:dyDescent="0.3">
      <c r="A231" t="s">
        <v>563</v>
      </c>
      <c r="B231" t="s">
        <v>493</v>
      </c>
      <c r="C231" t="s">
        <v>274</v>
      </c>
      <c r="D231" t="s">
        <v>80</v>
      </c>
      <c r="E231" t="s">
        <v>48</v>
      </c>
      <c r="F231" t="s">
        <v>20</v>
      </c>
      <c r="G231" t="s">
        <v>49</v>
      </c>
      <c r="H231" t="s">
        <v>40</v>
      </c>
      <c r="I231" t="s">
        <v>50</v>
      </c>
      <c r="J231" t="s">
        <v>51</v>
      </c>
      <c r="K231" t="s">
        <v>25</v>
      </c>
      <c r="L231">
        <v>5</v>
      </c>
      <c r="M231">
        <v>6750</v>
      </c>
      <c r="N231">
        <v>10</v>
      </c>
      <c r="O231">
        <v>619.44000000000005</v>
      </c>
    </row>
    <row r="232" spans="1:15" x14ac:dyDescent="0.3">
      <c r="A232" t="s">
        <v>564</v>
      </c>
      <c r="B232" t="s">
        <v>461</v>
      </c>
      <c r="C232" t="s">
        <v>252</v>
      </c>
      <c r="D232" t="s">
        <v>102</v>
      </c>
      <c r="E232" t="s">
        <v>66</v>
      </c>
      <c r="F232" t="s">
        <v>20</v>
      </c>
      <c r="G232" t="s">
        <v>67</v>
      </c>
      <c r="H232" t="s">
        <v>33</v>
      </c>
      <c r="I232" t="s">
        <v>34</v>
      </c>
      <c r="J232" t="s">
        <v>35</v>
      </c>
      <c r="K232" t="s">
        <v>25</v>
      </c>
      <c r="L232">
        <v>1</v>
      </c>
      <c r="M232">
        <v>9600</v>
      </c>
      <c r="N232">
        <v>20</v>
      </c>
      <c r="O232">
        <v>1665.62</v>
      </c>
    </row>
    <row r="233" spans="1:15" x14ac:dyDescent="0.3">
      <c r="A233" t="s">
        <v>565</v>
      </c>
      <c r="B233" t="s">
        <v>566</v>
      </c>
      <c r="C233" t="s">
        <v>118</v>
      </c>
      <c r="D233" t="s">
        <v>55</v>
      </c>
      <c r="E233" t="s">
        <v>119</v>
      </c>
      <c r="F233" t="s">
        <v>31</v>
      </c>
      <c r="G233" t="s">
        <v>120</v>
      </c>
      <c r="H233" t="s">
        <v>40</v>
      </c>
      <c r="I233" t="s">
        <v>50</v>
      </c>
      <c r="J233" t="s">
        <v>51</v>
      </c>
      <c r="K233" t="s">
        <v>62</v>
      </c>
      <c r="L233">
        <v>3</v>
      </c>
      <c r="M233">
        <v>22950</v>
      </c>
      <c r="N233">
        <v>10</v>
      </c>
      <c r="O233">
        <v>3636.05</v>
      </c>
    </row>
    <row r="234" spans="1:15" x14ac:dyDescent="0.3">
      <c r="A234" t="s">
        <v>567</v>
      </c>
      <c r="B234" t="s">
        <v>269</v>
      </c>
      <c r="C234" t="s">
        <v>568</v>
      </c>
      <c r="D234" t="s">
        <v>80</v>
      </c>
      <c r="E234" t="s">
        <v>48</v>
      </c>
      <c r="F234" t="s">
        <v>20</v>
      </c>
      <c r="G234" t="s">
        <v>49</v>
      </c>
      <c r="H234" t="s">
        <v>59</v>
      </c>
      <c r="I234" t="s">
        <v>93</v>
      </c>
      <c r="J234" t="s">
        <v>94</v>
      </c>
      <c r="K234" t="s">
        <v>81</v>
      </c>
      <c r="L234">
        <v>1</v>
      </c>
      <c r="M234">
        <v>1275</v>
      </c>
      <c r="N234">
        <v>15</v>
      </c>
      <c r="O234">
        <v>181.11</v>
      </c>
    </row>
    <row r="235" spans="1:15" x14ac:dyDescent="0.3">
      <c r="A235" t="s">
        <v>569</v>
      </c>
      <c r="B235" t="s">
        <v>206</v>
      </c>
      <c r="C235" t="s">
        <v>167</v>
      </c>
      <c r="D235" t="s">
        <v>47</v>
      </c>
      <c r="E235" t="s">
        <v>30</v>
      </c>
      <c r="F235" t="s">
        <v>31</v>
      </c>
      <c r="G235" t="s">
        <v>32</v>
      </c>
      <c r="H235" t="s">
        <v>33</v>
      </c>
      <c r="I235" t="s">
        <v>68</v>
      </c>
      <c r="J235" t="s">
        <v>133</v>
      </c>
      <c r="K235" t="s">
        <v>25</v>
      </c>
      <c r="L235">
        <v>5</v>
      </c>
      <c r="M235">
        <v>27625</v>
      </c>
      <c r="N235">
        <v>15</v>
      </c>
      <c r="O235">
        <v>5790.22</v>
      </c>
    </row>
    <row r="236" spans="1:15" x14ac:dyDescent="0.3">
      <c r="A236" t="s">
        <v>570</v>
      </c>
      <c r="B236" t="s">
        <v>208</v>
      </c>
      <c r="C236" t="s">
        <v>151</v>
      </c>
      <c r="D236" t="s">
        <v>102</v>
      </c>
      <c r="E236" t="s">
        <v>106</v>
      </c>
      <c r="F236" t="s">
        <v>20</v>
      </c>
      <c r="G236" t="s">
        <v>49</v>
      </c>
      <c r="H236" t="s">
        <v>22</v>
      </c>
      <c r="I236" t="s">
        <v>23</v>
      </c>
      <c r="J236" t="s">
        <v>24</v>
      </c>
      <c r="K236" t="s">
        <v>25</v>
      </c>
      <c r="L236">
        <v>5</v>
      </c>
      <c r="M236">
        <v>9350</v>
      </c>
      <c r="N236">
        <v>15</v>
      </c>
      <c r="O236">
        <v>2026.62</v>
      </c>
    </row>
    <row r="237" spans="1:15" x14ac:dyDescent="0.3">
      <c r="A237" t="s">
        <v>571</v>
      </c>
      <c r="B237" t="s">
        <v>209</v>
      </c>
      <c r="C237" t="s">
        <v>572</v>
      </c>
      <c r="D237" t="s">
        <v>47</v>
      </c>
      <c r="E237" t="s">
        <v>119</v>
      </c>
      <c r="F237" t="s">
        <v>31</v>
      </c>
      <c r="G237" t="s">
        <v>120</v>
      </c>
      <c r="H237" t="s">
        <v>40</v>
      </c>
      <c r="I237" t="s">
        <v>41</v>
      </c>
      <c r="J237" t="s">
        <v>42</v>
      </c>
      <c r="K237" t="s">
        <v>62</v>
      </c>
      <c r="L237">
        <v>5</v>
      </c>
      <c r="M237">
        <v>34000</v>
      </c>
      <c r="N237">
        <v>20</v>
      </c>
      <c r="O237">
        <v>4466.49</v>
      </c>
    </row>
    <row r="238" spans="1:15" x14ac:dyDescent="0.3">
      <c r="A238" t="s">
        <v>573</v>
      </c>
      <c r="B238" t="s">
        <v>217</v>
      </c>
      <c r="C238" t="s">
        <v>370</v>
      </c>
      <c r="D238" t="s">
        <v>73</v>
      </c>
      <c r="E238" t="s">
        <v>106</v>
      </c>
      <c r="F238" t="s">
        <v>20</v>
      </c>
      <c r="G238" t="s">
        <v>49</v>
      </c>
      <c r="H238" t="s">
        <v>59</v>
      </c>
      <c r="I238" t="s">
        <v>93</v>
      </c>
      <c r="J238" t="s">
        <v>94</v>
      </c>
      <c r="K238" t="s">
        <v>43</v>
      </c>
      <c r="L238">
        <v>5</v>
      </c>
      <c r="M238">
        <v>11000</v>
      </c>
      <c r="N238">
        <v>0</v>
      </c>
      <c r="O238">
        <v>1525.42</v>
      </c>
    </row>
    <row r="239" spans="1:15" x14ac:dyDescent="0.3">
      <c r="A239" t="s">
        <v>574</v>
      </c>
      <c r="B239" t="s">
        <v>575</v>
      </c>
      <c r="C239" t="s">
        <v>463</v>
      </c>
      <c r="D239" t="s">
        <v>102</v>
      </c>
      <c r="E239" t="s">
        <v>56</v>
      </c>
      <c r="F239" t="s">
        <v>57</v>
      </c>
      <c r="G239" t="s">
        <v>58</v>
      </c>
      <c r="H239" t="s">
        <v>33</v>
      </c>
      <c r="I239" t="s">
        <v>68</v>
      </c>
      <c r="J239" t="s">
        <v>69</v>
      </c>
      <c r="K239" t="s">
        <v>62</v>
      </c>
      <c r="L239">
        <v>2</v>
      </c>
      <c r="M239">
        <v>665</v>
      </c>
      <c r="N239">
        <v>5</v>
      </c>
      <c r="O239">
        <v>107.54</v>
      </c>
    </row>
    <row r="240" spans="1:15" x14ac:dyDescent="0.3">
      <c r="A240" t="s">
        <v>576</v>
      </c>
      <c r="B240" t="s">
        <v>577</v>
      </c>
      <c r="C240" t="s">
        <v>513</v>
      </c>
      <c r="D240" t="s">
        <v>80</v>
      </c>
      <c r="E240" t="s">
        <v>19</v>
      </c>
      <c r="F240" t="s">
        <v>20</v>
      </c>
      <c r="G240" t="s">
        <v>21</v>
      </c>
      <c r="H240" t="s">
        <v>59</v>
      </c>
      <c r="I240" t="s">
        <v>93</v>
      </c>
      <c r="J240" t="s">
        <v>94</v>
      </c>
      <c r="K240" t="s">
        <v>25</v>
      </c>
      <c r="L240">
        <v>5</v>
      </c>
      <c r="M240">
        <v>220000</v>
      </c>
      <c r="N240">
        <v>20</v>
      </c>
      <c r="O240">
        <v>46906.14</v>
      </c>
    </row>
    <row r="241" spans="1:15" x14ac:dyDescent="0.3">
      <c r="A241" t="s">
        <v>578</v>
      </c>
      <c r="B241" t="s">
        <v>46</v>
      </c>
      <c r="C241" t="s">
        <v>136</v>
      </c>
      <c r="D241" t="s">
        <v>98</v>
      </c>
      <c r="E241" t="s">
        <v>119</v>
      </c>
      <c r="F241" t="s">
        <v>31</v>
      </c>
      <c r="G241" t="s">
        <v>120</v>
      </c>
      <c r="H241" t="s">
        <v>40</v>
      </c>
      <c r="I241" t="s">
        <v>50</v>
      </c>
      <c r="J241" t="s">
        <v>51</v>
      </c>
      <c r="K241" t="s">
        <v>43</v>
      </c>
      <c r="L241">
        <v>1</v>
      </c>
      <c r="M241">
        <v>8500</v>
      </c>
      <c r="N241">
        <v>0</v>
      </c>
      <c r="O241">
        <v>1866.78</v>
      </c>
    </row>
    <row r="242" spans="1:15" x14ac:dyDescent="0.3">
      <c r="A242" t="s">
        <v>579</v>
      </c>
      <c r="B242" t="s">
        <v>580</v>
      </c>
      <c r="C242" t="s">
        <v>249</v>
      </c>
      <c r="D242" t="s">
        <v>98</v>
      </c>
      <c r="E242" t="s">
        <v>66</v>
      </c>
      <c r="F242" t="s">
        <v>20</v>
      </c>
      <c r="G242" t="s">
        <v>67</v>
      </c>
      <c r="H242" t="s">
        <v>40</v>
      </c>
      <c r="I242" t="s">
        <v>50</v>
      </c>
      <c r="J242" t="s">
        <v>51</v>
      </c>
      <c r="K242" t="s">
        <v>25</v>
      </c>
      <c r="L242">
        <v>3</v>
      </c>
      <c r="M242">
        <v>30600</v>
      </c>
      <c r="N242">
        <v>15</v>
      </c>
      <c r="O242">
        <v>2618.56</v>
      </c>
    </row>
    <row r="243" spans="1:15" x14ac:dyDescent="0.3">
      <c r="A243" t="s">
        <v>581</v>
      </c>
      <c r="B243" t="s">
        <v>582</v>
      </c>
      <c r="C243" t="s">
        <v>583</v>
      </c>
      <c r="D243" t="s">
        <v>18</v>
      </c>
      <c r="E243" t="s">
        <v>66</v>
      </c>
      <c r="F243" t="s">
        <v>20</v>
      </c>
      <c r="G243" t="s">
        <v>67</v>
      </c>
      <c r="H243" t="s">
        <v>33</v>
      </c>
      <c r="I243" t="s">
        <v>68</v>
      </c>
      <c r="J243" t="s">
        <v>69</v>
      </c>
      <c r="K243" t="s">
        <v>25</v>
      </c>
      <c r="L243">
        <v>2</v>
      </c>
      <c r="M243">
        <v>21600</v>
      </c>
      <c r="N243">
        <v>10</v>
      </c>
      <c r="O243">
        <v>4048.11</v>
      </c>
    </row>
    <row r="244" spans="1:15" x14ac:dyDescent="0.3">
      <c r="A244" t="s">
        <v>584</v>
      </c>
      <c r="B244" t="s">
        <v>168</v>
      </c>
      <c r="C244" t="s">
        <v>340</v>
      </c>
      <c r="D244" t="s">
        <v>73</v>
      </c>
      <c r="E244" t="s">
        <v>19</v>
      </c>
      <c r="F244" t="s">
        <v>20</v>
      </c>
      <c r="G244" t="s">
        <v>21</v>
      </c>
      <c r="H244" t="s">
        <v>22</v>
      </c>
      <c r="I244" t="s">
        <v>23</v>
      </c>
      <c r="J244" t="s">
        <v>24</v>
      </c>
      <c r="K244" t="s">
        <v>81</v>
      </c>
      <c r="L244">
        <v>5</v>
      </c>
      <c r="M244">
        <v>247500</v>
      </c>
      <c r="N244">
        <v>10</v>
      </c>
      <c r="O244">
        <v>34742.379999999997</v>
      </c>
    </row>
    <row r="245" spans="1:15" x14ac:dyDescent="0.3">
      <c r="A245" t="s">
        <v>585</v>
      </c>
      <c r="B245" t="s">
        <v>270</v>
      </c>
      <c r="C245" t="s">
        <v>586</v>
      </c>
      <c r="D245" t="s">
        <v>29</v>
      </c>
      <c r="E245" t="s">
        <v>106</v>
      </c>
      <c r="F245" t="s">
        <v>20</v>
      </c>
      <c r="G245" t="s">
        <v>49</v>
      </c>
      <c r="H245" t="s">
        <v>59</v>
      </c>
      <c r="I245" t="s">
        <v>60</v>
      </c>
      <c r="J245" t="s">
        <v>61</v>
      </c>
      <c r="K245" t="s">
        <v>25</v>
      </c>
      <c r="L245">
        <v>5</v>
      </c>
      <c r="M245">
        <v>9900</v>
      </c>
      <c r="N245">
        <v>10</v>
      </c>
      <c r="O245">
        <v>921.64</v>
      </c>
    </row>
    <row r="246" spans="1:15" x14ac:dyDescent="0.3">
      <c r="A246" t="s">
        <v>587</v>
      </c>
      <c r="B246" t="s">
        <v>151</v>
      </c>
      <c r="C246" t="s">
        <v>546</v>
      </c>
      <c r="D246" t="s">
        <v>102</v>
      </c>
      <c r="E246" t="s">
        <v>119</v>
      </c>
      <c r="F246" t="s">
        <v>31</v>
      </c>
      <c r="G246" t="s">
        <v>120</v>
      </c>
      <c r="H246" t="s">
        <v>33</v>
      </c>
      <c r="I246" t="s">
        <v>68</v>
      </c>
      <c r="J246" t="s">
        <v>133</v>
      </c>
      <c r="K246" t="s">
        <v>25</v>
      </c>
      <c r="L246">
        <v>2</v>
      </c>
      <c r="M246">
        <v>14450</v>
      </c>
      <c r="N246">
        <v>15</v>
      </c>
      <c r="O246">
        <v>2893.61</v>
      </c>
    </row>
    <row r="247" spans="1:15" x14ac:dyDescent="0.3">
      <c r="A247" t="s">
        <v>588</v>
      </c>
      <c r="B247" t="s">
        <v>96</v>
      </c>
      <c r="C247" t="s">
        <v>589</v>
      </c>
      <c r="D247" t="s">
        <v>55</v>
      </c>
      <c r="E247" t="s">
        <v>30</v>
      </c>
      <c r="F247" t="s">
        <v>31</v>
      </c>
      <c r="G247" t="s">
        <v>32</v>
      </c>
      <c r="H247" t="s">
        <v>59</v>
      </c>
      <c r="I247" t="s">
        <v>93</v>
      </c>
      <c r="J247" t="s">
        <v>94</v>
      </c>
      <c r="K247" t="s">
        <v>25</v>
      </c>
      <c r="L247">
        <v>5</v>
      </c>
      <c r="M247">
        <v>26000</v>
      </c>
      <c r="N247">
        <v>20</v>
      </c>
      <c r="O247">
        <v>4534.4799999999996</v>
      </c>
    </row>
    <row r="248" spans="1:15" x14ac:dyDescent="0.3">
      <c r="A248" t="s">
        <v>590</v>
      </c>
      <c r="B248" t="s">
        <v>591</v>
      </c>
      <c r="C248" t="s">
        <v>592</v>
      </c>
      <c r="D248" t="s">
        <v>98</v>
      </c>
      <c r="E248" t="s">
        <v>48</v>
      </c>
      <c r="F248" t="s">
        <v>20</v>
      </c>
      <c r="G248" t="s">
        <v>49</v>
      </c>
      <c r="H248" t="s">
        <v>59</v>
      </c>
      <c r="I248" t="s">
        <v>93</v>
      </c>
      <c r="J248" t="s">
        <v>94</v>
      </c>
      <c r="K248" t="s">
        <v>81</v>
      </c>
      <c r="L248">
        <v>4</v>
      </c>
      <c r="M248">
        <v>5700</v>
      </c>
      <c r="N248">
        <v>5</v>
      </c>
      <c r="O248">
        <v>486.88</v>
      </c>
    </row>
    <row r="249" spans="1:15" x14ac:dyDescent="0.3">
      <c r="A249" t="s">
        <v>593</v>
      </c>
      <c r="B249" t="s">
        <v>288</v>
      </c>
      <c r="C249" t="s">
        <v>515</v>
      </c>
      <c r="D249" t="s">
        <v>29</v>
      </c>
      <c r="E249" t="s">
        <v>56</v>
      </c>
      <c r="F249" t="s">
        <v>57</v>
      </c>
      <c r="G249" t="s">
        <v>58</v>
      </c>
      <c r="H249" t="s">
        <v>33</v>
      </c>
      <c r="I249" t="s">
        <v>68</v>
      </c>
      <c r="J249" t="s">
        <v>133</v>
      </c>
      <c r="K249" t="s">
        <v>62</v>
      </c>
      <c r="L249">
        <v>4</v>
      </c>
      <c r="M249">
        <v>1330</v>
      </c>
      <c r="N249">
        <v>5</v>
      </c>
      <c r="O249">
        <v>260.94</v>
      </c>
    </row>
    <row r="250" spans="1:15" x14ac:dyDescent="0.3">
      <c r="A250" t="s">
        <v>594</v>
      </c>
      <c r="B250" t="s">
        <v>445</v>
      </c>
      <c r="C250" t="s">
        <v>378</v>
      </c>
      <c r="D250" t="s">
        <v>47</v>
      </c>
      <c r="E250" t="s">
        <v>66</v>
      </c>
      <c r="F250" t="s">
        <v>20</v>
      </c>
      <c r="G250" t="s">
        <v>67</v>
      </c>
      <c r="H250" t="s">
        <v>40</v>
      </c>
      <c r="I250" t="s">
        <v>41</v>
      </c>
      <c r="J250" t="s">
        <v>42</v>
      </c>
      <c r="K250" t="s">
        <v>43</v>
      </c>
      <c r="L250">
        <v>5</v>
      </c>
      <c r="M250">
        <v>57000</v>
      </c>
      <c r="N250">
        <v>5</v>
      </c>
      <c r="O250">
        <v>5835.65</v>
      </c>
    </row>
    <row r="251" spans="1:15" x14ac:dyDescent="0.3">
      <c r="A251" t="s">
        <v>595</v>
      </c>
      <c r="B251" t="s">
        <v>566</v>
      </c>
      <c r="C251" t="s">
        <v>596</v>
      </c>
      <c r="D251" t="s">
        <v>98</v>
      </c>
      <c r="E251" t="s">
        <v>56</v>
      </c>
      <c r="F251" t="s">
        <v>57</v>
      </c>
      <c r="G251" t="s">
        <v>58</v>
      </c>
      <c r="H251" t="s">
        <v>33</v>
      </c>
      <c r="I251" t="s">
        <v>68</v>
      </c>
      <c r="J251" t="s">
        <v>69</v>
      </c>
      <c r="K251" t="s">
        <v>43</v>
      </c>
      <c r="L251">
        <v>1</v>
      </c>
      <c r="M251">
        <v>332.5</v>
      </c>
      <c r="N251">
        <v>5</v>
      </c>
      <c r="O251">
        <v>64.13</v>
      </c>
    </row>
    <row r="252" spans="1:15" x14ac:dyDescent="0.3">
      <c r="A252" t="s">
        <v>597</v>
      </c>
      <c r="B252" t="s">
        <v>457</v>
      </c>
      <c r="C252" t="s">
        <v>557</v>
      </c>
      <c r="D252" t="s">
        <v>18</v>
      </c>
      <c r="E252" t="s">
        <v>119</v>
      </c>
      <c r="F252" t="s">
        <v>31</v>
      </c>
      <c r="G252" t="s">
        <v>120</v>
      </c>
      <c r="H252" t="s">
        <v>22</v>
      </c>
      <c r="I252" t="s">
        <v>23</v>
      </c>
      <c r="J252" t="s">
        <v>24</v>
      </c>
      <c r="K252" t="s">
        <v>43</v>
      </c>
      <c r="L252">
        <v>5</v>
      </c>
      <c r="M252">
        <v>36125</v>
      </c>
      <c r="N252">
        <v>15</v>
      </c>
      <c r="O252">
        <v>3912.08</v>
      </c>
    </row>
    <row r="253" spans="1:15" x14ac:dyDescent="0.3">
      <c r="A253" t="s">
        <v>598</v>
      </c>
      <c r="B253" t="s">
        <v>599</v>
      </c>
      <c r="C253" t="s">
        <v>600</v>
      </c>
      <c r="D253" t="s">
        <v>80</v>
      </c>
      <c r="E253" t="s">
        <v>130</v>
      </c>
      <c r="F253" t="s">
        <v>131</v>
      </c>
      <c r="G253" t="s">
        <v>132</v>
      </c>
      <c r="H253" t="s">
        <v>33</v>
      </c>
      <c r="I253" t="s">
        <v>68</v>
      </c>
      <c r="J253" t="s">
        <v>69</v>
      </c>
      <c r="K253" t="s">
        <v>81</v>
      </c>
      <c r="L253">
        <v>5</v>
      </c>
      <c r="M253">
        <v>2250</v>
      </c>
      <c r="N253">
        <v>0</v>
      </c>
      <c r="O253">
        <v>307.89999999999998</v>
      </c>
    </row>
    <row r="254" spans="1:15" x14ac:dyDescent="0.3">
      <c r="A254" t="s">
        <v>601</v>
      </c>
      <c r="B254" t="s">
        <v>53</v>
      </c>
      <c r="C254" t="s">
        <v>450</v>
      </c>
      <c r="D254" t="s">
        <v>98</v>
      </c>
      <c r="E254" t="s">
        <v>30</v>
      </c>
      <c r="F254" t="s">
        <v>31</v>
      </c>
      <c r="G254" t="s">
        <v>32</v>
      </c>
      <c r="H254" t="s">
        <v>33</v>
      </c>
      <c r="I254" t="s">
        <v>68</v>
      </c>
      <c r="J254" t="s">
        <v>69</v>
      </c>
      <c r="K254" t="s">
        <v>43</v>
      </c>
      <c r="L254">
        <v>4</v>
      </c>
      <c r="M254">
        <v>20800</v>
      </c>
      <c r="N254">
        <v>20</v>
      </c>
      <c r="O254">
        <v>2065.38</v>
      </c>
    </row>
    <row r="255" spans="1:15" x14ac:dyDescent="0.3">
      <c r="A255" t="s">
        <v>602</v>
      </c>
      <c r="B255" t="s">
        <v>217</v>
      </c>
      <c r="C255" t="s">
        <v>150</v>
      </c>
      <c r="D255" t="s">
        <v>29</v>
      </c>
      <c r="E255" t="s">
        <v>119</v>
      </c>
      <c r="F255" t="s">
        <v>31</v>
      </c>
      <c r="G255" t="s">
        <v>120</v>
      </c>
      <c r="H255" t="s">
        <v>22</v>
      </c>
      <c r="I255" t="s">
        <v>155</v>
      </c>
      <c r="J255" t="s">
        <v>156</v>
      </c>
      <c r="K255" t="s">
        <v>43</v>
      </c>
      <c r="L255">
        <v>4</v>
      </c>
      <c r="M255">
        <v>34000</v>
      </c>
      <c r="N255">
        <v>0</v>
      </c>
      <c r="O255">
        <v>3534.13</v>
      </c>
    </row>
    <row r="256" spans="1:15" x14ac:dyDescent="0.3">
      <c r="A256" t="s">
        <v>603</v>
      </c>
      <c r="B256" t="s">
        <v>179</v>
      </c>
      <c r="C256" t="s">
        <v>336</v>
      </c>
      <c r="D256" t="s">
        <v>47</v>
      </c>
      <c r="E256" t="s">
        <v>48</v>
      </c>
      <c r="F256" t="s">
        <v>20</v>
      </c>
      <c r="G256" t="s">
        <v>49</v>
      </c>
      <c r="H256" t="s">
        <v>33</v>
      </c>
      <c r="I256" t="s">
        <v>68</v>
      </c>
      <c r="J256" t="s">
        <v>69</v>
      </c>
      <c r="K256" t="s">
        <v>43</v>
      </c>
      <c r="L256">
        <v>2</v>
      </c>
      <c r="M256">
        <v>2850</v>
      </c>
      <c r="N256">
        <v>5</v>
      </c>
      <c r="O256">
        <v>469.27</v>
      </c>
    </row>
    <row r="257" spans="1:15" x14ac:dyDescent="0.3">
      <c r="A257" t="s">
        <v>604</v>
      </c>
      <c r="B257" t="s">
        <v>605</v>
      </c>
      <c r="C257" t="s">
        <v>469</v>
      </c>
      <c r="D257" t="s">
        <v>29</v>
      </c>
      <c r="E257" t="s">
        <v>113</v>
      </c>
      <c r="F257" t="s">
        <v>114</v>
      </c>
      <c r="G257" t="s">
        <v>115</v>
      </c>
      <c r="H257" t="s">
        <v>33</v>
      </c>
      <c r="I257" t="s">
        <v>68</v>
      </c>
      <c r="J257" t="s">
        <v>133</v>
      </c>
      <c r="K257" t="s">
        <v>62</v>
      </c>
      <c r="L257">
        <v>3</v>
      </c>
      <c r="M257">
        <v>4590</v>
      </c>
      <c r="N257">
        <v>15</v>
      </c>
      <c r="O257">
        <v>564.16999999999996</v>
      </c>
    </row>
    <row r="258" spans="1:15" x14ac:dyDescent="0.3">
      <c r="A258" t="s">
        <v>606</v>
      </c>
      <c r="B258" t="s">
        <v>165</v>
      </c>
      <c r="C258" t="s">
        <v>150</v>
      </c>
      <c r="D258" t="s">
        <v>29</v>
      </c>
      <c r="E258" t="s">
        <v>66</v>
      </c>
      <c r="F258" t="s">
        <v>20</v>
      </c>
      <c r="G258" t="s">
        <v>67</v>
      </c>
      <c r="H258" t="s">
        <v>33</v>
      </c>
      <c r="I258" t="s">
        <v>68</v>
      </c>
      <c r="J258" t="s">
        <v>133</v>
      </c>
      <c r="K258" t="s">
        <v>81</v>
      </c>
      <c r="L258">
        <v>5</v>
      </c>
      <c r="M258">
        <v>57000</v>
      </c>
      <c r="N258">
        <v>5</v>
      </c>
      <c r="O258">
        <v>5273.84</v>
      </c>
    </row>
    <row r="259" spans="1:15" x14ac:dyDescent="0.3">
      <c r="A259" t="s">
        <v>607</v>
      </c>
      <c r="B259" t="s">
        <v>109</v>
      </c>
      <c r="C259" t="s">
        <v>83</v>
      </c>
      <c r="D259" t="s">
        <v>29</v>
      </c>
      <c r="E259" t="s">
        <v>113</v>
      </c>
      <c r="F259" t="s">
        <v>114</v>
      </c>
      <c r="G259" t="s">
        <v>115</v>
      </c>
      <c r="H259" t="s">
        <v>22</v>
      </c>
      <c r="I259" t="s">
        <v>155</v>
      </c>
      <c r="J259" t="s">
        <v>156</v>
      </c>
      <c r="K259" t="s">
        <v>81</v>
      </c>
      <c r="L259">
        <v>2</v>
      </c>
      <c r="M259">
        <v>3240</v>
      </c>
      <c r="N259">
        <v>10</v>
      </c>
      <c r="O259">
        <v>285.48</v>
      </c>
    </row>
    <row r="260" spans="1:15" x14ac:dyDescent="0.3">
      <c r="A260" t="s">
        <v>608</v>
      </c>
      <c r="B260" t="s">
        <v>197</v>
      </c>
      <c r="C260" t="s">
        <v>198</v>
      </c>
      <c r="D260" t="s">
        <v>47</v>
      </c>
      <c r="E260" t="s">
        <v>19</v>
      </c>
      <c r="F260" t="s">
        <v>20</v>
      </c>
      <c r="G260" t="s">
        <v>21</v>
      </c>
      <c r="H260" t="s">
        <v>59</v>
      </c>
      <c r="I260" t="s">
        <v>93</v>
      </c>
      <c r="J260" t="s">
        <v>94</v>
      </c>
      <c r="K260" t="s">
        <v>43</v>
      </c>
      <c r="L260">
        <v>5</v>
      </c>
      <c r="M260">
        <v>233750</v>
      </c>
      <c r="N260">
        <v>15</v>
      </c>
      <c r="O260">
        <v>32323.46</v>
      </c>
    </row>
    <row r="261" spans="1:15" x14ac:dyDescent="0.3">
      <c r="A261" t="s">
        <v>609</v>
      </c>
      <c r="B261" t="s">
        <v>136</v>
      </c>
      <c r="C261" t="s">
        <v>411</v>
      </c>
      <c r="D261" t="s">
        <v>18</v>
      </c>
      <c r="E261" t="s">
        <v>19</v>
      </c>
      <c r="F261" t="s">
        <v>20</v>
      </c>
      <c r="G261" t="s">
        <v>21</v>
      </c>
      <c r="H261" t="s">
        <v>40</v>
      </c>
      <c r="I261" t="s">
        <v>50</v>
      </c>
      <c r="J261" t="s">
        <v>51</v>
      </c>
      <c r="K261" t="s">
        <v>62</v>
      </c>
      <c r="L261">
        <v>2</v>
      </c>
      <c r="M261">
        <v>93500</v>
      </c>
      <c r="N261">
        <v>15</v>
      </c>
      <c r="O261">
        <v>16725.86</v>
      </c>
    </row>
    <row r="262" spans="1:15" x14ac:dyDescent="0.3">
      <c r="A262" t="s">
        <v>610</v>
      </c>
      <c r="B262" t="s">
        <v>274</v>
      </c>
      <c r="C262" t="s">
        <v>422</v>
      </c>
      <c r="D262" t="s">
        <v>80</v>
      </c>
      <c r="E262" t="s">
        <v>113</v>
      </c>
      <c r="F262" t="s">
        <v>114</v>
      </c>
      <c r="G262" t="s">
        <v>115</v>
      </c>
      <c r="H262" t="s">
        <v>22</v>
      </c>
      <c r="I262" t="s">
        <v>155</v>
      </c>
      <c r="J262" t="s">
        <v>156</v>
      </c>
      <c r="K262" t="s">
        <v>81</v>
      </c>
      <c r="L262">
        <v>1</v>
      </c>
      <c r="M262">
        <v>1620</v>
      </c>
      <c r="N262">
        <v>10</v>
      </c>
      <c r="O262">
        <v>224.67</v>
      </c>
    </row>
    <row r="263" spans="1:15" x14ac:dyDescent="0.3">
      <c r="A263" t="s">
        <v>611</v>
      </c>
      <c r="B263" t="s">
        <v>208</v>
      </c>
      <c r="C263" t="s">
        <v>428</v>
      </c>
      <c r="D263" t="s">
        <v>47</v>
      </c>
      <c r="E263" t="s">
        <v>106</v>
      </c>
      <c r="F263" t="s">
        <v>20</v>
      </c>
      <c r="G263" t="s">
        <v>49</v>
      </c>
      <c r="H263" t="s">
        <v>33</v>
      </c>
      <c r="I263" t="s">
        <v>68</v>
      </c>
      <c r="J263" t="s">
        <v>69</v>
      </c>
      <c r="K263" t="s">
        <v>43</v>
      </c>
      <c r="L263">
        <v>2</v>
      </c>
      <c r="M263">
        <v>4180</v>
      </c>
      <c r="N263">
        <v>5</v>
      </c>
      <c r="O263">
        <v>740.45</v>
      </c>
    </row>
    <row r="264" spans="1:15" x14ac:dyDescent="0.3">
      <c r="A264" t="s">
        <v>612</v>
      </c>
      <c r="B264" t="s">
        <v>413</v>
      </c>
      <c r="C264" t="s">
        <v>414</v>
      </c>
      <c r="D264" t="s">
        <v>85</v>
      </c>
      <c r="E264" t="s">
        <v>106</v>
      </c>
      <c r="F264" t="s">
        <v>20</v>
      </c>
      <c r="G264" t="s">
        <v>49</v>
      </c>
      <c r="H264" t="s">
        <v>22</v>
      </c>
      <c r="I264" t="s">
        <v>23</v>
      </c>
      <c r="J264" t="s">
        <v>24</v>
      </c>
      <c r="K264" t="s">
        <v>43</v>
      </c>
      <c r="L264">
        <v>1</v>
      </c>
      <c r="M264">
        <v>2200</v>
      </c>
      <c r="N264">
        <v>0</v>
      </c>
      <c r="O264">
        <v>213.24</v>
      </c>
    </row>
    <row r="265" spans="1:15" x14ac:dyDescent="0.3">
      <c r="A265" t="s">
        <v>613</v>
      </c>
      <c r="B265" t="s">
        <v>614</v>
      </c>
      <c r="C265" t="s">
        <v>521</v>
      </c>
      <c r="D265" t="s">
        <v>85</v>
      </c>
      <c r="E265" t="s">
        <v>56</v>
      </c>
      <c r="F265" t="s">
        <v>57</v>
      </c>
      <c r="G265" t="s">
        <v>58</v>
      </c>
      <c r="H265" t="s">
        <v>22</v>
      </c>
      <c r="I265" t="s">
        <v>23</v>
      </c>
      <c r="J265" t="s">
        <v>24</v>
      </c>
      <c r="K265" t="s">
        <v>25</v>
      </c>
      <c r="L265">
        <v>1</v>
      </c>
      <c r="M265">
        <v>280</v>
      </c>
      <c r="N265">
        <v>20</v>
      </c>
      <c r="O265">
        <v>59.98</v>
      </c>
    </row>
    <row r="266" spans="1:15" x14ac:dyDescent="0.3">
      <c r="A266" t="s">
        <v>615</v>
      </c>
      <c r="B266" t="s">
        <v>533</v>
      </c>
      <c r="C266" t="s">
        <v>457</v>
      </c>
      <c r="D266" t="s">
        <v>29</v>
      </c>
      <c r="E266" t="s">
        <v>56</v>
      </c>
      <c r="F266" t="s">
        <v>57</v>
      </c>
      <c r="G266" t="s">
        <v>58</v>
      </c>
      <c r="H266" t="s">
        <v>40</v>
      </c>
      <c r="I266" t="s">
        <v>41</v>
      </c>
      <c r="J266" t="s">
        <v>42</v>
      </c>
      <c r="K266" t="s">
        <v>25</v>
      </c>
      <c r="L266">
        <v>5</v>
      </c>
      <c r="M266">
        <v>1662.5</v>
      </c>
      <c r="N266">
        <v>5</v>
      </c>
      <c r="O266">
        <v>193.3</v>
      </c>
    </row>
    <row r="267" spans="1:15" x14ac:dyDescent="0.3">
      <c r="A267" t="s">
        <v>616</v>
      </c>
      <c r="B267" t="s">
        <v>562</v>
      </c>
      <c r="C267" t="s">
        <v>198</v>
      </c>
      <c r="D267" t="s">
        <v>85</v>
      </c>
      <c r="E267" t="s">
        <v>89</v>
      </c>
      <c r="F267" t="s">
        <v>20</v>
      </c>
      <c r="G267" t="s">
        <v>49</v>
      </c>
      <c r="H267" t="s">
        <v>59</v>
      </c>
      <c r="I267" t="s">
        <v>93</v>
      </c>
      <c r="J267" t="s">
        <v>94</v>
      </c>
      <c r="K267" t="s">
        <v>81</v>
      </c>
      <c r="L267">
        <v>2</v>
      </c>
      <c r="M267">
        <v>1800</v>
      </c>
      <c r="N267">
        <v>0</v>
      </c>
      <c r="O267">
        <v>288.5</v>
      </c>
    </row>
    <row r="268" spans="1:15" x14ac:dyDescent="0.3">
      <c r="A268" t="s">
        <v>617</v>
      </c>
      <c r="B268" t="s">
        <v>618</v>
      </c>
      <c r="C268" t="s">
        <v>619</v>
      </c>
      <c r="D268" t="s">
        <v>18</v>
      </c>
      <c r="E268" t="s">
        <v>130</v>
      </c>
      <c r="F268" t="s">
        <v>131</v>
      </c>
      <c r="G268" t="s">
        <v>132</v>
      </c>
      <c r="H268" t="s">
        <v>22</v>
      </c>
      <c r="I268" t="s">
        <v>155</v>
      </c>
      <c r="J268" t="s">
        <v>156</v>
      </c>
      <c r="K268" t="s">
        <v>25</v>
      </c>
      <c r="L268">
        <v>3</v>
      </c>
      <c r="M268">
        <v>1080</v>
      </c>
      <c r="N268">
        <v>20</v>
      </c>
      <c r="O268">
        <v>93.59</v>
      </c>
    </row>
    <row r="269" spans="1:15" x14ac:dyDescent="0.3">
      <c r="A269" t="s">
        <v>620</v>
      </c>
      <c r="B269" t="s">
        <v>381</v>
      </c>
      <c r="C269" t="s">
        <v>621</v>
      </c>
      <c r="D269" t="s">
        <v>98</v>
      </c>
      <c r="E269" t="s">
        <v>119</v>
      </c>
      <c r="F269" t="s">
        <v>31</v>
      </c>
      <c r="G269" t="s">
        <v>120</v>
      </c>
      <c r="H269" t="s">
        <v>40</v>
      </c>
      <c r="I269" t="s">
        <v>41</v>
      </c>
      <c r="J269" t="s">
        <v>42</v>
      </c>
      <c r="K269" t="s">
        <v>43</v>
      </c>
      <c r="L269">
        <v>5</v>
      </c>
      <c r="M269">
        <v>38250</v>
      </c>
      <c r="N269">
        <v>10</v>
      </c>
      <c r="O269">
        <v>4731.6000000000004</v>
      </c>
    </row>
    <row r="270" spans="1:15" x14ac:dyDescent="0.3">
      <c r="A270" t="s">
        <v>622</v>
      </c>
      <c r="B270" t="s">
        <v>505</v>
      </c>
      <c r="C270" t="s">
        <v>623</v>
      </c>
      <c r="D270" t="s">
        <v>47</v>
      </c>
      <c r="E270" t="s">
        <v>30</v>
      </c>
      <c r="F270" t="s">
        <v>31</v>
      </c>
      <c r="G270" t="s">
        <v>32</v>
      </c>
      <c r="H270" t="s">
        <v>33</v>
      </c>
      <c r="I270" t="s">
        <v>68</v>
      </c>
      <c r="J270" t="s">
        <v>133</v>
      </c>
      <c r="K270" t="s">
        <v>62</v>
      </c>
      <c r="L270">
        <v>1</v>
      </c>
      <c r="M270">
        <v>6500</v>
      </c>
      <c r="N270">
        <v>0</v>
      </c>
      <c r="O270">
        <v>1230.58</v>
      </c>
    </row>
    <row r="271" spans="1:15" x14ac:dyDescent="0.3">
      <c r="A271" t="s">
        <v>624</v>
      </c>
      <c r="B271" t="s">
        <v>167</v>
      </c>
      <c r="C271" t="s">
        <v>416</v>
      </c>
      <c r="D271" t="s">
        <v>55</v>
      </c>
      <c r="E271" t="s">
        <v>66</v>
      </c>
      <c r="F271" t="s">
        <v>20</v>
      </c>
      <c r="G271" t="s">
        <v>67</v>
      </c>
      <c r="H271" t="s">
        <v>22</v>
      </c>
      <c r="I271" t="s">
        <v>23</v>
      </c>
      <c r="J271" t="s">
        <v>24</v>
      </c>
      <c r="K271" t="s">
        <v>62</v>
      </c>
      <c r="L271">
        <v>1</v>
      </c>
      <c r="M271">
        <v>10800</v>
      </c>
      <c r="N271">
        <v>10</v>
      </c>
      <c r="O271">
        <v>1378.86</v>
      </c>
    </row>
    <row r="272" spans="1:15" x14ac:dyDescent="0.3">
      <c r="A272" t="s">
        <v>625</v>
      </c>
      <c r="B272" t="s">
        <v>305</v>
      </c>
      <c r="C272" t="s">
        <v>72</v>
      </c>
      <c r="D272" t="s">
        <v>80</v>
      </c>
      <c r="E272" t="s">
        <v>66</v>
      </c>
      <c r="F272" t="s">
        <v>20</v>
      </c>
      <c r="G272" t="s">
        <v>67</v>
      </c>
      <c r="H272" t="s">
        <v>22</v>
      </c>
      <c r="I272" t="s">
        <v>155</v>
      </c>
      <c r="J272" t="s">
        <v>156</v>
      </c>
      <c r="K272" t="s">
        <v>81</v>
      </c>
      <c r="L272">
        <v>3</v>
      </c>
      <c r="M272">
        <v>32400</v>
      </c>
      <c r="N272">
        <v>10</v>
      </c>
      <c r="O272">
        <v>3780.32</v>
      </c>
    </row>
    <row r="273" spans="1:15" x14ac:dyDescent="0.3">
      <c r="A273" t="s">
        <v>626</v>
      </c>
      <c r="B273" t="s">
        <v>627</v>
      </c>
      <c r="C273" t="s">
        <v>454</v>
      </c>
      <c r="D273" t="s">
        <v>47</v>
      </c>
      <c r="E273" t="s">
        <v>48</v>
      </c>
      <c r="F273" t="s">
        <v>20</v>
      </c>
      <c r="G273" t="s">
        <v>49</v>
      </c>
      <c r="H273" t="s">
        <v>33</v>
      </c>
      <c r="I273" t="s">
        <v>68</v>
      </c>
      <c r="J273" t="s">
        <v>69</v>
      </c>
      <c r="K273" t="s">
        <v>25</v>
      </c>
      <c r="L273">
        <v>5</v>
      </c>
      <c r="M273">
        <v>6375</v>
      </c>
      <c r="N273">
        <v>15</v>
      </c>
      <c r="O273">
        <v>674.09</v>
      </c>
    </row>
    <row r="274" spans="1:15" x14ac:dyDescent="0.3">
      <c r="A274" t="s">
        <v>628</v>
      </c>
      <c r="B274" t="s">
        <v>629</v>
      </c>
      <c r="C274" t="s">
        <v>267</v>
      </c>
      <c r="D274" t="s">
        <v>102</v>
      </c>
      <c r="E274" t="s">
        <v>119</v>
      </c>
      <c r="F274" t="s">
        <v>31</v>
      </c>
      <c r="G274" t="s">
        <v>120</v>
      </c>
      <c r="H274" t="s">
        <v>33</v>
      </c>
      <c r="I274" t="s">
        <v>34</v>
      </c>
      <c r="J274" t="s">
        <v>35</v>
      </c>
      <c r="K274" t="s">
        <v>62</v>
      </c>
      <c r="L274">
        <v>4</v>
      </c>
      <c r="M274">
        <v>28900</v>
      </c>
      <c r="N274">
        <v>15</v>
      </c>
      <c r="O274">
        <v>6150.83</v>
      </c>
    </row>
    <row r="275" spans="1:15" x14ac:dyDescent="0.3">
      <c r="A275" t="s">
        <v>630</v>
      </c>
      <c r="B275" t="s">
        <v>631</v>
      </c>
      <c r="C275" t="s">
        <v>439</v>
      </c>
      <c r="D275" t="s">
        <v>55</v>
      </c>
      <c r="E275" t="s">
        <v>130</v>
      </c>
      <c r="F275" t="s">
        <v>131</v>
      </c>
      <c r="G275" t="s">
        <v>132</v>
      </c>
      <c r="H275" t="s">
        <v>40</v>
      </c>
      <c r="I275" t="s">
        <v>50</v>
      </c>
      <c r="J275" t="s">
        <v>51</v>
      </c>
      <c r="K275" t="s">
        <v>43</v>
      </c>
      <c r="L275">
        <v>3</v>
      </c>
      <c r="M275">
        <v>1080</v>
      </c>
      <c r="N275">
        <v>20</v>
      </c>
      <c r="O275">
        <v>134.62</v>
      </c>
    </row>
    <row r="276" spans="1:15" x14ac:dyDescent="0.3">
      <c r="A276" t="s">
        <v>632</v>
      </c>
      <c r="B276" t="s">
        <v>151</v>
      </c>
      <c r="C276" t="s">
        <v>311</v>
      </c>
      <c r="D276" t="s">
        <v>85</v>
      </c>
      <c r="E276" t="s">
        <v>119</v>
      </c>
      <c r="F276" t="s">
        <v>31</v>
      </c>
      <c r="G276" t="s">
        <v>120</v>
      </c>
      <c r="H276" t="s">
        <v>33</v>
      </c>
      <c r="I276" t="s">
        <v>34</v>
      </c>
      <c r="J276" t="s">
        <v>35</v>
      </c>
      <c r="K276" t="s">
        <v>81</v>
      </c>
      <c r="L276">
        <v>5</v>
      </c>
      <c r="M276">
        <v>40375</v>
      </c>
      <c r="N276">
        <v>5</v>
      </c>
      <c r="O276">
        <v>4356.1099999999997</v>
      </c>
    </row>
    <row r="277" spans="1:15" x14ac:dyDescent="0.3">
      <c r="A277" t="s">
        <v>633</v>
      </c>
      <c r="B277" t="s">
        <v>138</v>
      </c>
      <c r="C277" t="s">
        <v>108</v>
      </c>
      <c r="D277" t="s">
        <v>85</v>
      </c>
      <c r="E277" t="s">
        <v>106</v>
      </c>
      <c r="F277" t="s">
        <v>20</v>
      </c>
      <c r="G277" t="s">
        <v>49</v>
      </c>
      <c r="H277" t="s">
        <v>59</v>
      </c>
      <c r="I277" t="s">
        <v>93</v>
      </c>
      <c r="J277" t="s">
        <v>94</v>
      </c>
      <c r="K277" t="s">
        <v>25</v>
      </c>
      <c r="L277">
        <v>5</v>
      </c>
      <c r="M277">
        <v>11000</v>
      </c>
      <c r="N277">
        <v>0</v>
      </c>
      <c r="O277">
        <v>2266.66</v>
      </c>
    </row>
    <row r="278" spans="1:15" x14ac:dyDescent="0.3">
      <c r="A278" t="s">
        <v>634</v>
      </c>
      <c r="B278" t="s">
        <v>635</v>
      </c>
      <c r="C278" t="s">
        <v>636</v>
      </c>
      <c r="D278" t="s">
        <v>55</v>
      </c>
      <c r="E278" t="s">
        <v>66</v>
      </c>
      <c r="F278" t="s">
        <v>20</v>
      </c>
      <c r="G278" t="s">
        <v>67</v>
      </c>
      <c r="H278" t="s">
        <v>59</v>
      </c>
      <c r="I278" t="s">
        <v>60</v>
      </c>
      <c r="J278" t="s">
        <v>61</v>
      </c>
      <c r="K278" t="s">
        <v>62</v>
      </c>
      <c r="L278">
        <v>2</v>
      </c>
      <c r="M278">
        <v>24000</v>
      </c>
      <c r="N278">
        <v>0</v>
      </c>
      <c r="O278">
        <v>4923.8100000000004</v>
      </c>
    </row>
    <row r="279" spans="1:15" x14ac:dyDescent="0.3">
      <c r="A279" t="s">
        <v>637</v>
      </c>
      <c r="B279" t="s">
        <v>589</v>
      </c>
      <c r="C279" t="s">
        <v>575</v>
      </c>
      <c r="D279" t="s">
        <v>55</v>
      </c>
      <c r="E279" t="s">
        <v>106</v>
      </c>
      <c r="F279" t="s">
        <v>20</v>
      </c>
      <c r="G279" t="s">
        <v>49</v>
      </c>
      <c r="H279" t="s">
        <v>59</v>
      </c>
      <c r="I279" t="s">
        <v>93</v>
      </c>
      <c r="J279" t="s">
        <v>94</v>
      </c>
      <c r="K279" t="s">
        <v>25</v>
      </c>
      <c r="L279">
        <v>1</v>
      </c>
      <c r="M279">
        <v>2200</v>
      </c>
      <c r="N279">
        <v>0</v>
      </c>
      <c r="O279">
        <v>400.28</v>
      </c>
    </row>
    <row r="280" spans="1:15" x14ac:dyDescent="0.3">
      <c r="A280" t="s">
        <v>638</v>
      </c>
      <c r="B280" t="s">
        <v>639</v>
      </c>
      <c r="C280" t="s">
        <v>427</v>
      </c>
      <c r="D280" t="s">
        <v>29</v>
      </c>
      <c r="E280" t="s">
        <v>48</v>
      </c>
      <c r="F280" t="s">
        <v>20</v>
      </c>
      <c r="G280" t="s">
        <v>49</v>
      </c>
      <c r="H280" t="s">
        <v>59</v>
      </c>
      <c r="I280" t="s">
        <v>93</v>
      </c>
      <c r="J280" t="s">
        <v>94</v>
      </c>
      <c r="K280" t="s">
        <v>43</v>
      </c>
      <c r="L280">
        <v>5</v>
      </c>
      <c r="M280">
        <v>7500</v>
      </c>
      <c r="N280">
        <v>0</v>
      </c>
      <c r="O280">
        <v>858.7</v>
      </c>
    </row>
    <row r="281" spans="1:15" x14ac:dyDescent="0.3">
      <c r="A281" t="s">
        <v>640</v>
      </c>
      <c r="B281" t="s">
        <v>641</v>
      </c>
      <c r="C281" t="s">
        <v>71</v>
      </c>
      <c r="D281" t="s">
        <v>80</v>
      </c>
      <c r="E281" t="s">
        <v>19</v>
      </c>
      <c r="F281" t="s">
        <v>20</v>
      </c>
      <c r="G281" t="s">
        <v>21</v>
      </c>
      <c r="H281" t="s">
        <v>40</v>
      </c>
      <c r="I281" t="s">
        <v>50</v>
      </c>
      <c r="J281" t="s">
        <v>51</v>
      </c>
      <c r="K281" t="s">
        <v>81</v>
      </c>
      <c r="L281">
        <v>5</v>
      </c>
      <c r="M281">
        <v>233750</v>
      </c>
      <c r="N281">
        <v>15</v>
      </c>
      <c r="O281">
        <v>41063.65</v>
      </c>
    </row>
    <row r="282" spans="1:15" x14ac:dyDescent="0.3">
      <c r="A282" t="s">
        <v>642</v>
      </c>
      <c r="B282" t="s">
        <v>460</v>
      </c>
      <c r="C282" t="s">
        <v>421</v>
      </c>
      <c r="D282" t="s">
        <v>39</v>
      </c>
      <c r="E282" t="s">
        <v>66</v>
      </c>
      <c r="F282" t="s">
        <v>20</v>
      </c>
      <c r="G282" t="s">
        <v>67</v>
      </c>
      <c r="H282" t="s">
        <v>33</v>
      </c>
      <c r="I282" t="s">
        <v>68</v>
      </c>
      <c r="J282" t="s">
        <v>133</v>
      </c>
      <c r="K282" t="s">
        <v>43</v>
      </c>
      <c r="L282">
        <v>5</v>
      </c>
      <c r="M282">
        <v>57000</v>
      </c>
      <c r="N282">
        <v>5</v>
      </c>
      <c r="O282">
        <v>9875.93</v>
      </c>
    </row>
    <row r="283" spans="1:15" x14ac:dyDescent="0.3">
      <c r="A283" t="s">
        <v>643</v>
      </c>
      <c r="B283" t="s">
        <v>445</v>
      </c>
      <c r="C283" t="s">
        <v>231</v>
      </c>
      <c r="D283" t="s">
        <v>73</v>
      </c>
      <c r="E283" t="s">
        <v>130</v>
      </c>
      <c r="F283" t="s">
        <v>131</v>
      </c>
      <c r="G283" t="s">
        <v>132</v>
      </c>
      <c r="H283" t="s">
        <v>22</v>
      </c>
      <c r="I283" t="s">
        <v>23</v>
      </c>
      <c r="J283" t="s">
        <v>24</v>
      </c>
      <c r="K283" t="s">
        <v>81</v>
      </c>
      <c r="L283">
        <v>1</v>
      </c>
      <c r="M283">
        <v>382.5</v>
      </c>
      <c r="N283">
        <v>15</v>
      </c>
      <c r="O283">
        <v>42.47</v>
      </c>
    </row>
    <row r="284" spans="1:15" x14ac:dyDescent="0.3">
      <c r="A284" t="s">
        <v>644</v>
      </c>
      <c r="B284" t="s">
        <v>641</v>
      </c>
      <c r="C284" t="s">
        <v>71</v>
      </c>
      <c r="D284" t="s">
        <v>18</v>
      </c>
      <c r="E284" t="s">
        <v>19</v>
      </c>
      <c r="F284" t="s">
        <v>20</v>
      </c>
      <c r="G284" t="s">
        <v>21</v>
      </c>
      <c r="H284" t="s">
        <v>40</v>
      </c>
      <c r="I284" t="s">
        <v>41</v>
      </c>
      <c r="J284" t="s">
        <v>42</v>
      </c>
      <c r="K284" t="s">
        <v>81</v>
      </c>
      <c r="L284">
        <v>4</v>
      </c>
      <c r="M284">
        <v>198000</v>
      </c>
      <c r="N284">
        <v>10</v>
      </c>
      <c r="O284">
        <v>32416.16</v>
      </c>
    </row>
    <row r="285" spans="1:15" x14ac:dyDescent="0.3">
      <c r="A285" t="s">
        <v>645</v>
      </c>
      <c r="B285" t="s">
        <v>445</v>
      </c>
      <c r="C285" t="s">
        <v>231</v>
      </c>
      <c r="D285" t="s">
        <v>102</v>
      </c>
      <c r="E285" t="s">
        <v>56</v>
      </c>
      <c r="F285" t="s">
        <v>57</v>
      </c>
      <c r="G285" t="s">
        <v>58</v>
      </c>
      <c r="H285" t="s">
        <v>22</v>
      </c>
      <c r="I285" t="s">
        <v>23</v>
      </c>
      <c r="J285" t="s">
        <v>24</v>
      </c>
      <c r="K285" t="s">
        <v>25</v>
      </c>
      <c r="L285">
        <v>5</v>
      </c>
      <c r="M285">
        <v>1662.5</v>
      </c>
      <c r="N285">
        <v>5</v>
      </c>
      <c r="O285">
        <v>335.91</v>
      </c>
    </row>
    <row r="286" spans="1:15" x14ac:dyDescent="0.3">
      <c r="A286" t="s">
        <v>646</v>
      </c>
      <c r="B286" t="s">
        <v>72</v>
      </c>
      <c r="C286" t="s">
        <v>511</v>
      </c>
      <c r="D286" t="s">
        <v>98</v>
      </c>
      <c r="E286" t="s">
        <v>119</v>
      </c>
      <c r="F286" t="s">
        <v>31</v>
      </c>
      <c r="G286" t="s">
        <v>120</v>
      </c>
      <c r="H286" t="s">
        <v>22</v>
      </c>
      <c r="I286" t="s">
        <v>155</v>
      </c>
      <c r="J286" t="s">
        <v>156</v>
      </c>
      <c r="K286" t="s">
        <v>43</v>
      </c>
      <c r="L286">
        <v>5</v>
      </c>
      <c r="M286">
        <v>42500</v>
      </c>
      <c r="N286">
        <v>0</v>
      </c>
      <c r="O286">
        <v>4346.1000000000004</v>
      </c>
    </row>
    <row r="287" spans="1:15" x14ac:dyDescent="0.3">
      <c r="A287" t="s">
        <v>647</v>
      </c>
      <c r="B287" t="s">
        <v>648</v>
      </c>
      <c r="C287" t="s">
        <v>274</v>
      </c>
      <c r="D287" t="s">
        <v>80</v>
      </c>
      <c r="E287" t="s">
        <v>19</v>
      </c>
      <c r="F287" t="s">
        <v>20</v>
      </c>
      <c r="G287" t="s">
        <v>21</v>
      </c>
      <c r="H287" t="s">
        <v>40</v>
      </c>
      <c r="I287" t="s">
        <v>50</v>
      </c>
      <c r="J287" t="s">
        <v>51</v>
      </c>
      <c r="K287" t="s">
        <v>25</v>
      </c>
      <c r="L287">
        <v>4</v>
      </c>
      <c r="M287">
        <v>187000</v>
      </c>
      <c r="N287">
        <v>15</v>
      </c>
      <c r="O287">
        <v>20766.41</v>
      </c>
    </row>
    <row r="288" spans="1:15" x14ac:dyDescent="0.3">
      <c r="A288" t="s">
        <v>649</v>
      </c>
      <c r="B288" t="s">
        <v>154</v>
      </c>
      <c r="C288" t="s">
        <v>217</v>
      </c>
      <c r="D288" t="s">
        <v>98</v>
      </c>
      <c r="E288" t="s">
        <v>106</v>
      </c>
      <c r="F288" t="s">
        <v>20</v>
      </c>
      <c r="G288" t="s">
        <v>49</v>
      </c>
      <c r="H288" t="s">
        <v>33</v>
      </c>
      <c r="I288" t="s">
        <v>34</v>
      </c>
      <c r="J288" t="s">
        <v>35</v>
      </c>
      <c r="K288" t="s">
        <v>43</v>
      </c>
      <c r="L288">
        <v>2</v>
      </c>
      <c r="M288">
        <v>3740</v>
      </c>
      <c r="N288">
        <v>15</v>
      </c>
      <c r="O288">
        <v>731.21</v>
      </c>
    </row>
    <row r="289" spans="1:15" x14ac:dyDescent="0.3">
      <c r="A289" t="s">
        <v>650</v>
      </c>
      <c r="B289" t="s">
        <v>173</v>
      </c>
      <c r="C289" t="s">
        <v>294</v>
      </c>
      <c r="D289" t="s">
        <v>39</v>
      </c>
      <c r="E289" t="s">
        <v>48</v>
      </c>
      <c r="F289" t="s">
        <v>20</v>
      </c>
      <c r="G289" t="s">
        <v>49</v>
      </c>
      <c r="H289" t="s">
        <v>22</v>
      </c>
      <c r="I289" t="s">
        <v>23</v>
      </c>
      <c r="J289" t="s">
        <v>24</v>
      </c>
      <c r="K289" t="s">
        <v>25</v>
      </c>
      <c r="L289">
        <v>3</v>
      </c>
      <c r="M289">
        <v>3825</v>
      </c>
      <c r="N289">
        <v>15</v>
      </c>
      <c r="O289">
        <v>772.03</v>
      </c>
    </row>
    <row r="290" spans="1:15" x14ac:dyDescent="0.3">
      <c r="A290" t="s">
        <v>651</v>
      </c>
      <c r="B290" t="s">
        <v>162</v>
      </c>
      <c r="C290" t="s">
        <v>192</v>
      </c>
      <c r="D290" t="s">
        <v>29</v>
      </c>
      <c r="E290" t="s">
        <v>130</v>
      </c>
      <c r="F290" t="s">
        <v>131</v>
      </c>
      <c r="G290" t="s">
        <v>132</v>
      </c>
      <c r="H290" t="s">
        <v>59</v>
      </c>
      <c r="I290" t="s">
        <v>93</v>
      </c>
      <c r="J290" t="s">
        <v>94</v>
      </c>
      <c r="K290" t="s">
        <v>62</v>
      </c>
      <c r="L290">
        <v>2</v>
      </c>
      <c r="M290">
        <v>765</v>
      </c>
      <c r="N290">
        <v>15</v>
      </c>
      <c r="O290">
        <v>163.47</v>
      </c>
    </row>
    <row r="291" spans="1:15" x14ac:dyDescent="0.3">
      <c r="A291" t="s">
        <v>652</v>
      </c>
      <c r="B291" t="s">
        <v>653</v>
      </c>
      <c r="C291" t="s">
        <v>16</v>
      </c>
      <c r="D291" t="s">
        <v>80</v>
      </c>
      <c r="E291" t="s">
        <v>30</v>
      </c>
      <c r="F291" t="s">
        <v>31</v>
      </c>
      <c r="G291" t="s">
        <v>32</v>
      </c>
      <c r="H291" t="s">
        <v>40</v>
      </c>
      <c r="I291" t="s">
        <v>50</v>
      </c>
      <c r="J291" t="s">
        <v>51</v>
      </c>
      <c r="K291" t="s">
        <v>43</v>
      </c>
      <c r="L291">
        <v>2</v>
      </c>
      <c r="M291">
        <v>13000</v>
      </c>
      <c r="N291">
        <v>0</v>
      </c>
      <c r="O291">
        <v>2451.2800000000002</v>
      </c>
    </row>
    <row r="292" spans="1:15" x14ac:dyDescent="0.3">
      <c r="A292" t="s">
        <v>654</v>
      </c>
      <c r="B292" t="s">
        <v>596</v>
      </c>
      <c r="C292" t="s">
        <v>655</v>
      </c>
      <c r="D292" t="s">
        <v>80</v>
      </c>
      <c r="E292" t="s">
        <v>113</v>
      </c>
      <c r="F292" t="s">
        <v>114</v>
      </c>
      <c r="G292" t="s">
        <v>115</v>
      </c>
      <c r="H292" t="s">
        <v>33</v>
      </c>
      <c r="I292" t="s">
        <v>34</v>
      </c>
      <c r="J292" t="s">
        <v>35</v>
      </c>
      <c r="K292" t="s">
        <v>62</v>
      </c>
      <c r="L292">
        <v>1</v>
      </c>
      <c r="M292">
        <v>1440</v>
      </c>
      <c r="N292">
        <v>20</v>
      </c>
      <c r="O292">
        <v>128.41</v>
      </c>
    </row>
    <row r="293" spans="1:15" x14ac:dyDescent="0.3">
      <c r="A293" t="s">
        <v>656</v>
      </c>
      <c r="B293" t="s">
        <v>592</v>
      </c>
      <c r="C293" t="s">
        <v>558</v>
      </c>
      <c r="D293" t="s">
        <v>80</v>
      </c>
      <c r="E293" t="s">
        <v>66</v>
      </c>
      <c r="F293" t="s">
        <v>20</v>
      </c>
      <c r="G293" t="s">
        <v>67</v>
      </c>
      <c r="H293" t="s">
        <v>22</v>
      </c>
      <c r="I293" t="s">
        <v>23</v>
      </c>
      <c r="J293" t="s">
        <v>24</v>
      </c>
      <c r="K293" t="s">
        <v>43</v>
      </c>
      <c r="L293">
        <v>5</v>
      </c>
      <c r="M293">
        <v>51000</v>
      </c>
      <c r="N293">
        <v>15</v>
      </c>
      <c r="O293">
        <v>8913.77</v>
      </c>
    </row>
    <row r="294" spans="1:15" x14ac:dyDescent="0.3">
      <c r="A294" t="s">
        <v>657</v>
      </c>
      <c r="B294" t="s">
        <v>533</v>
      </c>
      <c r="C294" t="s">
        <v>144</v>
      </c>
      <c r="D294" t="s">
        <v>39</v>
      </c>
      <c r="E294" t="s">
        <v>56</v>
      </c>
      <c r="F294" t="s">
        <v>57</v>
      </c>
      <c r="G294" t="s">
        <v>58</v>
      </c>
      <c r="H294" t="s">
        <v>40</v>
      </c>
      <c r="I294" t="s">
        <v>50</v>
      </c>
      <c r="J294" t="s">
        <v>51</v>
      </c>
      <c r="K294" t="s">
        <v>25</v>
      </c>
      <c r="L294">
        <v>4</v>
      </c>
      <c r="M294">
        <v>1260</v>
      </c>
      <c r="N294">
        <v>10</v>
      </c>
      <c r="O294">
        <v>216.26</v>
      </c>
    </row>
    <row r="295" spans="1:15" x14ac:dyDescent="0.3">
      <c r="A295" t="s">
        <v>658</v>
      </c>
      <c r="B295" t="s">
        <v>659</v>
      </c>
      <c r="C295" t="s">
        <v>660</v>
      </c>
      <c r="D295" t="s">
        <v>73</v>
      </c>
      <c r="E295" t="s">
        <v>119</v>
      </c>
      <c r="F295" t="s">
        <v>31</v>
      </c>
      <c r="G295" t="s">
        <v>120</v>
      </c>
      <c r="H295" t="s">
        <v>40</v>
      </c>
      <c r="I295" t="s">
        <v>50</v>
      </c>
      <c r="J295" t="s">
        <v>51</v>
      </c>
      <c r="K295" t="s">
        <v>25</v>
      </c>
      <c r="L295">
        <v>1</v>
      </c>
      <c r="M295">
        <v>7650</v>
      </c>
      <c r="N295">
        <v>10</v>
      </c>
      <c r="O295">
        <v>775.79</v>
      </c>
    </row>
    <row r="296" spans="1:15" x14ac:dyDescent="0.3">
      <c r="A296" t="s">
        <v>661</v>
      </c>
      <c r="B296" t="s">
        <v>316</v>
      </c>
      <c r="C296" t="s">
        <v>662</v>
      </c>
      <c r="D296" t="s">
        <v>73</v>
      </c>
      <c r="E296" t="s">
        <v>48</v>
      </c>
      <c r="F296" t="s">
        <v>20</v>
      </c>
      <c r="G296" t="s">
        <v>49</v>
      </c>
      <c r="H296" t="s">
        <v>40</v>
      </c>
      <c r="I296" t="s">
        <v>50</v>
      </c>
      <c r="J296" t="s">
        <v>51</v>
      </c>
      <c r="K296" t="s">
        <v>43</v>
      </c>
      <c r="L296">
        <v>1</v>
      </c>
      <c r="M296">
        <v>1500</v>
      </c>
      <c r="N296">
        <v>0</v>
      </c>
      <c r="O296">
        <v>285.73</v>
      </c>
    </row>
    <row r="297" spans="1:15" x14ac:dyDescent="0.3">
      <c r="A297" t="s">
        <v>663</v>
      </c>
      <c r="B297" t="s">
        <v>664</v>
      </c>
      <c r="C297" t="s">
        <v>665</v>
      </c>
      <c r="D297" t="s">
        <v>85</v>
      </c>
      <c r="E297" t="s">
        <v>30</v>
      </c>
      <c r="F297" t="s">
        <v>31</v>
      </c>
      <c r="G297" t="s">
        <v>32</v>
      </c>
      <c r="H297" t="s">
        <v>33</v>
      </c>
      <c r="I297" t="s">
        <v>68</v>
      </c>
      <c r="J297" t="s">
        <v>69</v>
      </c>
      <c r="K297" t="s">
        <v>62</v>
      </c>
      <c r="L297">
        <v>1</v>
      </c>
      <c r="M297">
        <v>6175</v>
      </c>
      <c r="N297">
        <v>5</v>
      </c>
      <c r="O297">
        <v>1169.47</v>
      </c>
    </row>
    <row r="298" spans="1:15" x14ac:dyDescent="0.3">
      <c r="A298" t="s">
        <v>666</v>
      </c>
      <c r="B298" t="s">
        <v>329</v>
      </c>
      <c r="C298" t="s">
        <v>445</v>
      </c>
      <c r="D298" t="s">
        <v>73</v>
      </c>
      <c r="E298" t="s">
        <v>48</v>
      </c>
      <c r="F298" t="s">
        <v>20</v>
      </c>
      <c r="G298" t="s">
        <v>49</v>
      </c>
      <c r="H298" t="s">
        <v>33</v>
      </c>
      <c r="I298" t="s">
        <v>68</v>
      </c>
      <c r="J298" t="s">
        <v>69</v>
      </c>
      <c r="K298" t="s">
        <v>81</v>
      </c>
      <c r="L298">
        <v>1</v>
      </c>
      <c r="M298">
        <v>1500</v>
      </c>
      <c r="N298">
        <v>0</v>
      </c>
      <c r="O298">
        <v>178.29</v>
      </c>
    </row>
    <row r="299" spans="1:15" x14ac:dyDescent="0.3">
      <c r="A299" t="s">
        <v>667</v>
      </c>
      <c r="B299" t="s">
        <v>142</v>
      </c>
      <c r="C299" t="s">
        <v>526</v>
      </c>
      <c r="D299" t="s">
        <v>85</v>
      </c>
      <c r="E299" t="s">
        <v>130</v>
      </c>
      <c r="F299" t="s">
        <v>131</v>
      </c>
      <c r="G299" t="s">
        <v>132</v>
      </c>
      <c r="H299" t="s">
        <v>59</v>
      </c>
      <c r="I299" t="s">
        <v>93</v>
      </c>
      <c r="J299" t="s">
        <v>94</v>
      </c>
      <c r="K299" t="s">
        <v>43</v>
      </c>
      <c r="L299">
        <v>2</v>
      </c>
      <c r="M299">
        <v>855</v>
      </c>
      <c r="N299">
        <v>5</v>
      </c>
      <c r="O299">
        <v>76.2</v>
      </c>
    </row>
    <row r="300" spans="1:15" x14ac:dyDescent="0.3">
      <c r="A300" t="s">
        <v>668</v>
      </c>
      <c r="B300" t="s">
        <v>126</v>
      </c>
      <c r="C300" t="s">
        <v>272</v>
      </c>
      <c r="D300" t="s">
        <v>98</v>
      </c>
      <c r="E300" t="s">
        <v>113</v>
      </c>
      <c r="F300" t="s">
        <v>114</v>
      </c>
      <c r="G300" t="s">
        <v>115</v>
      </c>
      <c r="H300" t="s">
        <v>33</v>
      </c>
      <c r="I300" t="s">
        <v>34</v>
      </c>
      <c r="J300" t="s">
        <v>35</v>
      </c>
      <c r="K300" t="s">
        <v>62</v>
      </c>
      <c r="L300">
        <v>2</v>
      </c>
      <c r="M300">
        <v>3420</v>
      </c>
      <c r="N300">
        <v>5</v>
      </c>
      <c r="O300">
        <v>470.62</v>
      </c>
    </row>
    <row r="301" spans="1:15" x14ac:dyDescent="0.3">
      <c r="A301" t="s">
        <v>669</v>
      </c>
      <c r="B301" t="s">
        <v>311</v>
      </c>
      <c r="C301" t="s">
        <v>312</v>
      </c>
      <c r="D301" t="s">
        <v>39</v>
      </c>
      <c r="E301" t="s">
        <v>89</v>
      </c>
      <c r="F301" t="s">
        <v>20</v>
      </c>
      <c r="G301" t="s">
        <v>49</v>
      </c>
      <c r="H301" t="s">
        <v>40</v>
      </c>
      <c r="I301" t="s">
        <v>50</v>
      </c>
      <c r="J301" t="s">
        <v>51</v>
      </c>
      <c r="K301" t="s">
        <v>81</v>
      </c>
      <c r="L301">
        <v>4</v>
      </c>
      <c r="M301">
        <v>3060</v>
      </c>
      <c r="N301">
        <v>15</v>
      </c>
      <c r="O301">
        <v>661.18</v>
      </c>
    </row>
    <row r="302" spans="1:15" x14ac:dyDescent="0.3">
      <c r="A302" t="s">
        <v>670</v>
      </c>
      <c r="B302" t="s">
        <v>171</v>
      </c>
      <c r="C302" t="s">
        <v>117</v>
      </c>
      <c r="D302" t="s">
        <v>85</v>
      </c>
      <c r="E302" t="s">
        <v>19</v>
      </c>
      <c r="F302" t="s">
        <v>20</v>
      </c>
      <c r="G302" t="s">
        <v>21</v>
      </c>
      <c r="H302" t="s">
        <v>22</v>
      </c>
      <c r="I302" t="s">
        <v>23</v>
      </c>
      <c r="J302" t="s">
        <v>24</v>
      </c>
      <c r="K302" t="s">
        <v>43</v>
      </c>
      <c r="L302">
        <v>5</v>
      </c>
      <c r="M302">
        <v>233750</v>
      </c>
      <c r="N302">
        <v>15</v>
      </c>
      <c r="O302">
        <v>51391.31</v>
      </c>
    </row>
    <row r="303" spans="1:15" x14ac:dyDescent="0.3">
      <c r="A303" t="s">
        <v>671</v>
      </c>
      <c r="B303" t="s">
        <v>398</v>
      </c>
      <c r="C303" t="s">
        <v>672</v>
      </c>
      <c r="D303" t="s">
        <v>73</v>
      </c>
      <c r="E303" t="s">
        <v>130</v>
      </c>
      <c r="F303" t="s">
        <v>131</v>
      </c>
      <c r="G303" t="s">
        <v>132</v>
      </c>
      <c r="H303" t="s">
        <v>59</v>
      </c>
      <c r="I303" t="s">
        <v>60</v>
      </c>
      <c r="J303" t="s">
        <v>61</v>
      </c>
      <c r="K303" t="s">
        <v>43</v>
      </c>
      <c r="L303">
        <v>4</v>
      </c>
      <c r="M303">
        <v>1620</v>
      </c>
      <c r="N303">
        <v>10</v>
      </c>
      <c r="O303">
        <v>220.75</v>
      </c>
    </row>
    <row r="304" spans="1:15" x14ac:dyDescent="0.3">
      <c r="A304" t="s">
        <v>673</v>
      </c>
      <c r="B304" t="s">
        <v>674</v>
      </c>
      <c r="C304" t="s">
        <v>497</v>
      </c>
      <c r="D304" t="s">
        <v>55</v>
      </c>
      <c r="E304" t="s">
        <v>106</v>
      </c>
      <c r="F304" t="s">
        <v>20</v>
      </c>
      <c r="G304" t="s">
        <v>49</v>
      </c>
      <c r="H304" t="s">
        <v>22</v>
      </c>
      <c r="I304" t="s">
        <v>155</v>
      </c>
      <c r="J304" t="s">
        <v>156</v>
      </c>
      <c r="K304" t="s">
        <v>62</v>
      </c>
      <c r="L304">
        <v>4</v>
      </c>
      <c r="M304">
        <v>7920</v>
      </c>
      <c r="N304">
        <v>10</v>
      </c>
      <c r="O304">
        <v>772.59</v>
      </c>
    </row>
    <row r="305" spans="1:15" x14ac:dyDescent="0.3">
      <c r="A305" t="s">
        <v>675</v>
      </c>
      <c r="B305" t="s">
        <v>222</v>
      </c>
      <c r="C305" t="s">
        <v>596</v>
      </c>
      <c r="D305" t="s">
        <v>102</v>
      </c>
      <c r="E305" t="s">
        <v>19</v>
      </c>
      <c r="F305" t="s">
        <v>20</v>
      </c>
      <c r="G305" t="s">
        <v>21</v>
      </c>
      <c r="H305" t="s">
        <v>33</v>
      </c>
      <c r="I305" t="s">
        <v>68</v>
      </c>
      <c r="J305" t="s">
        <v>69</v>
      </c>
      <c r="K305" t="s">
        <v>43</v>
      </c>
      <c r="L305">
        <v>1</v>
      </c>
      <c r="M305">
        <v>44000</v>
      </c>
      <c r="N305">
        <v>20</v>
      </c>
      <c r="O305">
        <v>5857.86</v>
      </c>
    </row>
    <row r="306" spans="1:15" x14ac:dyDescent="0.3">
      <c r="A306" t="s">
        <v>676</v>
      </c>
      <c r="B306" t="s">
        <v>599</v>
      </c>
      <c r="C306" t="s">
        <v>347</v>
      </c>
      <c r="D306" t="s">
        <v>73</v>
      </c>
      <c r="E306" t="s">
        <v>19</v>
      </c>
      <c r="F306" t="s">
        <v>20</v>
      </c>
      <c r="G306" t="s">
        <v>21</v>
      </c>
      <c r="H306" t="s">
        <v>33</v>
      </c>
      <c r="I306" t="s">
        <v>68</v>
      </c>
      <c r="J306" t="s">
        <v>69</v>
      </c>
      <c r="K306" t="s">
        <v>43</v>
      </c>
      <c r="L306">
        <v>5</v>
      </c>
      <c r="M306">
        <v>261250</v>
      </c>
      <c r="N306">
        <v>5</v>
      </c>
      <c r="O306">
        <v>54640.11</v>
      </c>
    </row>
    <row r="307" spans="1:15" x14ac:dyDescent="0.3">
      <c r="A307" t="s">
        <v>677</v>
      </c>
      <c r="B307" t="s">
        <v>270</v>
      </c>
      <c r="C307" t="s">
        <v>586</v>
      </c>
      <c r="D307" t="s">
        <v>18</v>
      </c>
      <c r="E307" t="s">
        <v>113</v>
      </c>
      <c r="F307" t="s">
        <v>114</v>
      </c>
      <c r="G307" t="s">
        <v>115</v>
      </c>
      <c r="H307" t="s">
        <v>22</v>
      </c>
      <c r="I307" t="s">
        <v>23</v>
      </c>
      <c r="J307" t="s">
        <v>24</v>
      </c>
      <c r="K307" t="s">
        <v>43</v>
      </c>
      <c r="L307">
        <v>2</v>
      </c>
      <c r="M307">
        <v>3420</v>
      </c>
      <c r="N307">
        <v>5</v>
      </c>
      <c r="O307">
        <v>659.08</v>
      </c>
    </row>
    <row r="308" spans="1:15" x14ac:dyDescent="0.3">
      <c r="A308" t="s">
        <v>678</v>
      </c>
      <c r="B308" t="s">
        <v>139</v>
      </c>
      <c r="C308" t="s">
        <v>679</v>
      </c>
      <c r="D308" t="s">
        <v>29</v>
      </c>
      <c r="E308" t="s">
        <v>48</v>
      </c>
      <c r="F308" t="s">
        <v>20</v>
      </c>
      <c r="G308" t="s">
        <v>49</v>
      </c>
      <c r="H308" t="s">
        <v>33</v>
      </c>
      <c r="I308" t="s">
        <v>34</v>
      </c>
      <c r="J308" t="s">
        <v>35</v>
      </c>
      <c r="K308" t="s">
        <v>62</v>
      </c>
      <c r="L308">
        <v>5</v>
      </c>
      <c r="M308">
        <v>7125</v>
      </c>
      <c r="N308">
        <v>5</v>
      </c>
      <c r="O308">
        <v>1283.28</v>
      </c>
    </row>
    <row r="309" spans="1:15" x14ac:dyDescent="0.3">
      <c r="A309" t="s">
        <v>680</v>
      </c>
      <c r="B309" t="s">
        <v>681</v>
      </c>
      <c r="C309" t="s">
        <v>664</v>
      </c>
      <c r="D309" t="s">
        <v>29</v>
      </c>
      <c r="E309" t="s">
        <v>66</v>
      </c>
      <c r="F309" t="s">
        <v>20</v>
      </c>
      <c r="G309" t="s">
        <v>67</v>
      </c>
      <c r="H309" t="s">
        <v>22</v>
      </c>
      <c r="I309" t="s">
        <v>155</v>
      </c>
      <c r="J309" t="s">
        <v>156</v>
      </c>
      <c r="K309" t="s">
        <v>43</v>
      </c>
      <c r="L309">
        <v>5</v>
      </c>
      <c r="M309">
        <v>57000</v>
      </c>
      <c r="N309">
        <v>5</v>
      </c>
      <c r="O309">
        <v>10419.59</v>
      </c>
    </row>
    <row r="310" spans="1:15" x14ac:dyDescent="0.3">
      <c r="A310" t="s">
        <v>682</v>
      </c>
      <c r="B310" t="s">
        <v>513</v>
      </c>
      <c r="C310" t="s">
        <v>291</v>
      </c>
      <c r="D310" t="s">
        <v>55</v>
      </c>
      <c r="E310" t="s">
        <v>48</v>
      </c>
      <c r="F310" t="s">
        <v>20</v>
      </c>
      <c r="G310" t="s">
        <v>49</v>
      </c>
      <c r="H310" t="s">
        <v>33</v>
      </c>
      <c r="I310" t="s">
        <v>68</v>
      </c>
      <c r="J310" t="s">
        <v>133</v>
      </c>
      <c r="K310" t="s">
        <v>81</v>
      </c>
      <c r="L310">
        <v>2</v>
      </c>
      <c r="M310">
        <v>2850</v>
      </c>
      <c r="N310">
        <v>5</v>
      </c>
      <c r="O310">
        <v>358.22</v>
      </c>
    </row>
    <row r="311" spans="1:15" x14ac:dyDescent="0.3">
      <c r="A311" t="s">
        <v>683</v>
      </c>
      <c r="B311" t="s">
        <v>83</v>
      </c>
      <c r="C311" t="s">
        <v>481</v>
      </c>
      <c r="D311" t="s">
        <v>98</v>
      </c>
      <c r="E311" t="s">
        <v>119</v>
      </c>
      <c r="F311" t="s">
        <v>31</v>
      </c>
      <c r="G311" t="s">
        <v>120</v>
      </c>
      <c r="H311" t="s">
        <v>22</v>
      </c>
      <c r="I311" t="s">
        <v>155</v>
      </c>
      <c r="J311" t="s">
        <v>156</v>
      </c>
      <c r="K311" t="s">
        <v>81</v>
      </c>
      <c r="L311">
        <v>3</v>
      </c>
      <c r="M311">
        <v>25500</v>
      </c>
      <c r="N311">
        <v>0</v>
      </c>
      <c r="O311">
        <v>4173.32</v>
      </c>
    </row>
    <row r="312" spans="1:15" x14ac:dyDescent="0.3">
      <c r="A312" t="s">
        <v>684</v>
      </c>
      <c r="B312" t="s">
        <v>87</v>
      </c>
      <c r="C312" t="s">
        <v>685</v>
      </c>
      <c r="D312" t="s">
        <v>98</v>
      </c>
      <c r="E312" t="s">
        <v>130</v>
      </c>
      <c r="F312" t="s">
        <v>131</v>
      </c>
      <c r="G312" t="s">
        <v>132</v>
      </c>
      <c r="H312" t="s">
        <v>22</v>
      </c>
      <c r="I312" t="s">
        <v>155</v>
      </c>
      <c r="J312" t="s">
        <v>156</v>
      </c>
      <c r="K312" t="s">
        <v>43</v>
      </c>
      <c r="L312">
        <v>2</v>
      </c>
      <c r="M312">
        <v>720</v>
      </c>
      <c r="N312">
        <v>20</v>
      </c>
      <c r="O312">
        <v>101.9</v>
      </c>
    </row>
    <row r="313" spans="1:15" x14ac:dyDescent="0.3">
      <c r="A313" t="s">
        <v>686</v>
      </c>
      <c r="B313" t="s">
        <v>687</v>
      </c>
      <c r="C313" t="s">
        <v>243</v>
      </c>
      <c r="D313" t="s">
        <v>18</v>
      </c>
      <c r="E313" t="s">
        <v>113</v>
      </c>
      <c r="F313" t="s">
        <v>114</v>
      </c>
      <c r="G313" t="s">
        <v>115</v>
      </c>
      <c r="H313" t="s">
        <v>59</v>
      </c>
      <c r="I313" t="s">
        <v>60</v>
      </c>
      <c r="J313" t="s">
        <v>61</v>
      </c>
      <c r="K313" t="s">
        <v>25</v>
      </c>
      <c r="L313">
        <v>5</v>
      </c>
      <c r="M313">
        <v>8550</v>
      </c>
      <c r="N313">
        <v>5</v>
      </c>
      <c r="O313">
        <v>916.45</v>
      </c>
    </row>
    <row r="314" spans="1:15" x14ac:dyDescent="0.3">
      <c r="A314" t="s">
        <v>688</v>
      </c>
      <c r="B314" t="s">
        <v>126</v>
      </c>
      <c r="C314" t="s">
        <v>422</v>
      </c>
      <c r="D314" t="s">
        <v>29</v>
      </c>
      <c r="E314" t="s">
        <v>30</v>
      </c>
      <c r="F314" t="s">
        <v>31</v>
      </c>
      <c r="G314" t="s">
        <v>32</v>
      </c>
      <c r="H314" t="s">
        <v>33</v>
      </c>
      <c r="I314" t="s">
        <v>68</v>
      </c>
      <c r="J314" t="s">
        <v>69</v>
      </c>
      <c r="K314" t="s">
        <v>62</v>
      </c>
      <c r="L314">
        <v>1</v>
      </c>
      <c r="M314">
        <v>5850</v>
      </c>
      <c r="N314">
        <v>10</v>
      </c>
      <c r="O314">
        <v>931.23</v>
      </c>
    </row>
    <row r="315" spans="1:15" x14ac:dyDescent="0.3">
      <c r="A315" t="s">
        <v>689</v>
      </c>
      <c r="B315" t="s">
        <v>519</v>
      </c>
      <c r="C315" t="s">
        <v>192</v>
      </c>
      <c r="D315" t="s">
        <v>39</v>
      </c>
      <c r="E315" t="s">
        <v>19</v>
      </c>
      <c r="F315" t="s">
        <v>20</v>
      </c>
      <c r="G315" t="s">
        <v>21</v>
      </c>
      <c r="H315" t="s">
        <v>40</v>
      </c>
      <c r="I315" t="s">
        <v>50</v>
      </c>
      <c r="J315" t="s">
        <v>51</v>
      </c>
      <c r="K315" t="s">
        <v>62</v>
      </c>
      <c r="L315">
        <v>4</v>
      </c>
      <c r="M315">
        <v>209000</v>
      </c>
      <c r="N315">
        <v>5</v>
      </c>
      <c r="O315">
        <v>40289.629999999997</v>
      </c>
    </row>
    <row r="316" spans="1:15" x14ac:dyDescent="0.3">
      <c r="A316" t="s">
        <v>690</v>
      </c>
      <c r="B316" t="s">
        <v>461</v>
      </c>
      <c r="C316" t="s">
        <v>691</v>
      </c>
      <c r="D316" t="s">
        <v>18</v>
      </c>
      <c r="E316" t="s">
        <v>119</v>
      </c>
      <c r="F316" t="s">
        <v>31</v>
      </c>
      <c r="G316" t="s">
        <v>120</v>
      </c>
      <c r="H316" t="s">
        <v>59</v>
      </c>
      <c r="I316" t="s">
        <v>60</v>
      </c>
      <c r="J316" t="s">
        <v>61</v>
      </c>
      <c r="K316" t="s">
        <v>81</v>
      </c>
      <c r="L316">
        <v>4</v>
      </c>
      <c r="M316">
        <v>30600</v>
      </c>
      <c r="N316">
        <v>10</v>
      </c>
      <c r="O316">
        <v>4308.83</v>
      </c>
    </row>
    <row r="317" spans="1:15" x14ac:dyDescent="0.3">
      <c r="A317" t="s">
        <v>692</v>
      </c>
      <c r="B317" t="s">
        <v>452</v>
      </c>
      <c r="C317" t="s">
        <v>326</v>
      </c>
      <c r="D317" t="s">
        <v>102</v>
      </c>
      <c r="E317" t="s">
        <v>89</v>
      </c>
      <c r="F317" t="s">
        <v>20</v>
      </c>
      <c r="G317" t="s">
        <v>49</v>
      </c>
      <c r="H317" t="s">
        <v>40</v>
      </c>
      <c r="I317" t="s">
        <v>50</v>
      </c>
      <c r="J317" t="s">
        <v>51</v>
      </c>
      <c r="K317" t="s">
        <v>43</v>
      </c>
      <c r="L317">
        <v>1</v>
      </c>
      <c r="M317">
        <v>765</v>
      </c>
      <c r="N317">
        <v>15</v>
      </c>
      <c r="O317">
        <v>103.23</v>
      </c>
    </row>
    <row r="318" spans="1:15" x14ac:dyDescent="0.3">
      <c r="A318" t="s">
        <v>693</v>
      </c>
      <c r="B318" t="s">
        <v>158</v>
      </c>
      <c r="C318" t="s">
        <v>329</v>
      </c>
      <c r="D318" t="s">
        <v>29</v>
      </c>
      <c r="E318" t="s">
        <v>48</v>
      </c>
      <c r="F318" t="s">
        <v>20</v>
      </c>
      <c r="G318" t="s">
        <v>49</v>
      </c>
      <c r="H318" t="s">
        <v>22</v>
      </c>
      <c r="I318" t="s">
        <v>23</v>
      </c>
      <c r="J318" t="s">
        <v>24</v>
      </c>
      <c r="K318" t="s">
        <v>62</v>
      </c>
      <c r="L318">
        <v>1</v>
      </c>
      <c r="M318">
        <v>1500</v>
      </c>
      <c r="N318">
        <v>0</v>
      </c>
      <c r="O318">
        <v>325.02999999999997</v>
      </c>
    </row>
    <row r="319" spans="1:15" x14ac:dyDescent="0.3">
      <c r="A319" t="s">
        <v>694</v>
      </c>
      <c r="B319" t="s">
        <v>109</v>
      </c>
      <c r="C319" t="s">
        <v>256</v>
      </c>
      <c r="D319" t="s">
        <v>55</v>
      </c>
      <c r="E319" t="s">
        <v>30</v>
      </c>
      <c r="F319" t="s">
        <v>31</v>
      </c>
      <c r="G319" t="s">
        <v>32</v>
      </c>
      <c r="H319" t="s">
        <v>33</v>
      </c>
      <c r="I319" t="s">
        <v>68</v>
      </c>
      <c r="J319" t="s">
        <v>69</v>
      </c>
      <c r="K319" t="s">
        <v>81</v>
      </c>
      <c r="L319">
        <v>2</v>
      </c>
      <c r="M319">
        <v>11050</v>
      </c>
      <c r="N319">
        <v>15</v>
      </c>
      <c r="O319">
        <v>2321.7600000000002</v>
      </c>
    </row>
    <row r="320" spans="1:15" x14ac:dyDescent="0.3">
      <c r="A320" t="s">
        <v>695</v>
      </c>
      <c r="B320" t="s">
        <v>582</v>
      </c>
      <c r="C320" t="s">
        <v>596</v>
      </c>
      <c r="D320" t="s">
        <v>98</v>
      </c>
      <c r="E320" t="s">
        <v>56</v>
      </c>
      <c r="F320" t="s">
        <v>57</v>
      </c>
      <c r="G320" t="s">
        <v>58</v>
      </c>
      <c r="H320" t="s">
        <v>59</v>
      </c>
      <c r="I320" t="s">
        <v>93</v>
      </c>
      <c r="J320" t="s">
        <v>94</v>
      </c>
      <c r="K320" t="s">
        <v>43</v>
      </c>
      <c r="L320">
        <v>3</v>
      </c>
      <c r="M320">
        <v>945</v>
      </c>
      <c r="N320">
        <v>10</v>
      </c>
      <c r="O320">
        <v>81.540000000000006</v>
      </c>
    </row>
    <row r="321" spans="1:15" x14ac:dyDescent="0.3">
      <c r="A321" t="s">
        <v>696</v>
      </c>
      <c r="B321" t="s">
        <v>368</v>
      </c>
      <c r="C321" t="s">
        <v>104</v>
      </c>
      <c r="D321" t="s">
        <v>80</v>
      </c>
      <c r="E321" t="s">
        <v>106</v>
      </c>
      <c r="F321" t="s">
        <v>20</v>
      </c>
      <c r="G321" t="s">
        <v>49</v>
      </c>
      <c r="H321" t="s">
        <v>33</v>
      </c>
      <c r="I321" t="s">
        <v>68</v>
      </c>
      <c r="J321" t="s">
        <v>133</v>
      </c>
      <c r="K321" t="s">
        <v>62</v>
      </c>
      <c r="L321">
        <v>3</v>
      </c>
      <c r="M321">
        <v>5610</v>
      </c>
      <c r="N321">
        <v>15</v>
      </c>
      <c r="O321">
        <v>641.23</v>
      </c>
    </row>
    <row r="322" spans="1:15" x14ac:dyDescent="0.3">
      <c r="A322" t="s">
        <v>697</v>
      </c>
      <c r="B322" t="s">
        <v>83</v>
      </c>
      <c r="C322" t="s">
        <v>481</v>
      </c>
      <c r="D322" t="s">
        <v>80</v>
      </c>
      <c r="E322" t="s">
        <v>89</v>
      </c>
      <c r="F322" t="s">
        <v>20</v>
      </c>
      <c r="G322" t="s">
        <v>49</v>
      </c>
      <c r="H322" t="s">
        <v>22</v>
      </c>
      <c r="I322" t="s">
        <v>155</v>
      </c>
      <c r="J322" t="s">
        <v>156</v>
      </c>
      <c r="K322" t="s">
        <v>81</v>
      </c>
      <c r="L322">
        <v>3</v>
      </c>
      <c r="M322">
        <v>2295</v>
      </c>
      <c r="N322">
        <v>15</v>
      </c>
      <c r="O322">
        <v>377.65</v>
      </c>
    </row>
    <row r="323" spans="1:15" x14ac:dyDescent="0.3">
      <c r="A323" t="s">
        <v>698</v>
      </c>
      <c r="B323" t="s">
        <v>519</v>
      </c>
      <c r="C323" t="s">
        <v>374</v>
      </c>
      <c r="D323" t="s">
        <v>98</v>
      </c>
      <c r="E323" t="s">
        <v>19</v>
      </c>
      <c r="F323" t="s">
        <v>20</v>
      </c>
      <c r="G323" t="s">
        <v>21</v>
      </c>
      <c r="H323" t="s">
        <v>59</v>
      </c>
      <c r="I323" t="s">
        <v>93</v>
      </c>
      <c r="J323" t="s">
        <v>94</v>
      </c>
      <c r="K323" t="s">
        <v>62</v>
      </c>
      <c r="L323">
        <v>2</v>
      </c>
      <c r="M323">
        <v>110000</v>
      </c>
      <c r="N323">
        <v>0</v>
      </c>
      <c r="O323">
        <v>12460.31</v>
      </c>
    </row>
    <row r="324" spans="1:15" x14ac:dyDescent="0.3">
      <c r="A324" t="s">
        <v>699</v>
      </c>
      <c r="B324" t="s">
        <v>71</v>
      </c>
      <c r="C324" t="s">
        <v>72</v>
      </c>
      <c r="D324" t="s">
        <v>85</v>
      </c>
      <c r="E324" t="s">
        <v>66</v>
      </c>
      <c r="F324" t="s">
        <v>20</v>
      </c>
      <c r="G324" t="s">
        <v>67</v>
      </c>
      <c r="H324" t="s">
        <v>33</v>
      </c>
      <c r="I324" t="s">
        <v>34</v>
      </c>
      <c r="J324" t="s">
        <v>35</v>
      </c>
      <c r="K324" t="s">
        <v>43</v>
      </c>
      <c r="L324">
        <v>2</v>
      </c>
      <c r="M324">
        <v>20400</v>
      </c>
      <c r="N324">
        <v>15</v>
      </c>
      <c r="O324">
        <v>2748.72</v>
      </c>
    </row>
    <row r="325" spans="1:15" x14ac:dyDescent="0.3">
      <c r="A325" t="s">
        <v>700</v>
      </c>
      <c r="B325" t="s">
        <v>17</v>
      </c>
      <c r="C325" t="s">
        <v>701</v>
      </c>
      <c r="D325" t="s">
        <v>39</v>
      </c>
      <c r="E325" t="s">
        <v>30</v>
      </c>
      <c r="F325" t="s">
        <v>31</v>
      </c>
      <c r="G325" t="s">
        <v>32</v>
      </c>
      <c r="H325" t="s">
        <v>33</v>
      </c>
      <c r="I325" t="s">
        <v>68</v>
      </c>
      <c r="J325" t="s">
        <v>69</v>
      </c>
      <c r="K325" t="s">
        <v>43</v>
      </c>
      <c r="L325">
        <v>2</v>
      </c>
      <c r="M325">
        <v>11700</v>
      </c>
      <c r="N325">
        <v>10</v>
      </c>
      <c r="O325">
        <v>1713.94</v>
      </c>
    </row>
    <row r="326" spans="1:15" x14ac:dyDescent="0.3">
      <c r="A326" t="s">
        <v>702</v>
      </c>
      <c r="B326" t="s">
        <v>562</v>
      </c>
      <c r="C326" t="s">
        <v>191</v>
      </c>
      <c r="D326" t="s">
        <v>73</v>
      </c>
      <c r="E326" t="s">
        <v>48</v>
      </c>
      <c r="F326" t="s">
        <v>20</v>
      </c>
      <c r="G326" t="s">
        <v>49</v>
      </c>
      <c r="H326" t="s">
        <v>40</v>
      </c>
      <c r="I326" t="s">
        <v>50</v>
      </c>
      <c r="J326" t="s">
        <v>51</v>
      </c>
      <c r="K326" t="s">
        <v>43</v>
      </c>
      <c r="L326">
        <v>3</v>
      </c>
      <c r="M326">
        <v>4275</v>
      </c>
      <c r="N326">
        <v>5</v>
      </c>
      <c r="O326">
        <v>572.36</v>
      </c>
    </row>
    <row r="327" spans="1:15" x14ac:dyDescent="0.3">
      <c r="A327" t="s">
        <v>703</v>
      </c>
      <c r="B327" t="s">
        <v>513</v>
      </c>
      <c r="C327" t="s">
        <v>292</v>
      </c>
      <c r="D327" t="s">
        <v>18</v>
      </c>
      <c r="E327" t="s">
        <v>113</v>
      </c>
      <c r="F327" t="s">
        <v>114</v>
      </c>
      <c r="G327" t="s">
        <v>115</v>
      </c>
      <c r="H327" t="s">
        <v>40</v>
      </c>
      <c r="I327" t="s">
        <v>41</v>
      </c>
      <c r="J327" t="s">
        <v>42</v>
      </c>
      <c r="K327" t="s">
        <v>81</v>
      </c>
      <c r="L327">
        <v>4</v>
      </c>
      <c r="M327">
        <v>7200</v>
      </c>
      <c r="N327">
        <v>0</v>
      </c>
      <c r="O327">
        <v>706.18</v>
      </c>
    </row>
    <row r="328" spans="1:15" x14ac:dyDescent="0.3">
      <c r="A328" t="s">
        <v>704</v>
      </c>
      <c r="B328" t="s">
        <v>111</v>
      </c>
      <c r="C328" t="s">
        <v>300</v>
      </c>
      <c r="D328" t="s">
        <v>73</v>
      </c>
      <c r="E328" t="s">
        <v>89</v>
      </c>
      <c r="F328" t="s">
        <v>20</v>
      </c>
      <c r="G328" t="s">
        <v>49</v>
      </c>
      <c r="H328" t="s">
        <v>40</v>
      </c>
      <c r="I328" t="s">
        <v>41</v>
      </c>
      <c r="J328" t="s">
        <v>42</v>
      </c>
      <c r="K328" t="s">
        <v>62</v>
      </c>
      <c r="L328">
        <v>3</v>
      </c>
      <c r="M328">
        <v>2295</v>
      </c>
      <c r="N328">
        <v>15</v>
      </c>
      <c r="O328">
        <v>300.7</v>
      </c>
    </row>
    <row r="329" spans="1:15" x14ac:dyDescent="0.3">
      <c r="A329" t="s">
        <v>705</v>
      </c>
      <c r="B329" t="s">
        <v>706</v>
      </c>
      <c r="C329" t="s">
        <v>707</v>
      </c>
      <c r="D329" t="s">
        <v>102</v>
      </c>
      <c r="E329" t="s">
        <v>66</v>
      </c>
      <c r="F329" t="s">
        <v>20</v>
      </c>
      <c r="G329" t="s">
        <v>67</v>
      </c>
      <c r="H329" t="s">
        <v>40</v>
      </c>
      <c r="I329" t="s">
        <v>50</v>
      </c>
      <c r="J329" t="s">
        <v>51</v>
      </c>
      <c r="K329" t="s">
        <v>81</v>
      </c>
      <c r="L329">
        <v>1</v>
      </c>
      <c r="M329">
        <v>11400</v>
      </c>
      <c r="N329">
        <v>5</v>
      </c>
      <c r="O329">
        <v>1281.02</v>
      </c>
    </row>
    <row r="330" spans="1:15" x14ac:dyDescent="0.3">
      <c r="A330" t="s">
        <v>708</v>
      </c>
      <c r="B330" t="s">
        <v>589</v>
      </c>
      <c r="C330" t="s">
        <v>97</v>
      </c>
      <c r="D330" t="s">
        <v>39</v>
      </c>
      <c r="E330" t="s">
        <v>106</v>
      </c>
      <c r="F330" t="s">
        <v>20</v>
      </c>
      <c r="G330" t="s">
        <v>49</v>
      </c>
      <c r="H330" t="s">
        <v>40</v>
      </c>
      <c r="I330" t="s">
        <v>41</v>
      </c>
      <c r="J330" t="s">
        <v>42</v>
      </c>
      <c r="K330" t="s">
        <v>81</v>
      </c>
      <c r="L330">
        <v>3</v>
      </c>
      <c r="M330">
        <v>5940</v>
      </c>
      <c r="N330">
        <v>10</v>
      </c>
      <c r="O330">
        <v>1218.54</v>
      </c>
    </row>
    <row r="331" spans="1:15" x14ac:dyDescent="0.3">
      <c r="A331" t="s">
        <v>709</v>
      </c>
      <c r="B331" t="s">
        <v>710</v>
      </c>
      <c r="C331" t="s">
        <v>141</v>
      </c>
      <c r="D331" t="s">
        <v>47</v>
      </c>
      <c r="E331" t="s">
        <v>89</v>
      </c>
      <c r="F331" t="s">
        <v>20</v>
      </c>
      <c r="G331" t="s">
        <v>49</v>
      </c>
      <c r="H331" t="s">
        <v>22</v>
      </c>
      <c r="I331" t="s">
        <v>155</v>
      </c>
      <c r="J331" t="s">
        <v>156</v>
      </c>
      <c r="K331" t="s">
        <v>25</v>
      </c>
      <c r="L331">
        <v>5</v>
      </c>
      <c r="M331">
        <v>4050</v>
      </c>
      <c r="N331">
        <v>10</v>
      </c>
      <c r="O331">
        <v>700.12</v>
      </c>
    </row>
    <row r="332" spans="1:15" x14ac:dyDescent="0.3">
      <c r="A332" t="s">
        <v>711</v>
      </c>
      <c r="B332" t="s">
        <v>479</v>
      </c>
      <c r="C332" t="s">
        <v>112</v>
      </c>
      <c r="D332" t="s">
        <v>102</v>
      </c>
      <c r="E332" t="s">
        <v>113</v>
      </c>
      <c r="F332" t="s">
        <v>114</v>
      </c>
      <c r="G332" t="s">
        <v>115</v>
      </c>
      <c r="H332" t="s">
        <v>59</v>
      </c>
      <c r="I332" t="s">
        <v>93</v>
      </c>
      <c r="J332" t="s">
        <v>94</v>
      </c>
      <c r="K332" t="s">
        <v>43</v>
      </c>
      <c r="L332">
        <v>2</v>
      </c>
      <c r="M332">
        <v>3240</v>
      </c>
      <c r="N332">
        <v>10</v>
      </c>
      <c r="O332">
        <v>606.04999999999995</v>
      </c>
    </row>
    <row r="333" spans="1:15" x14ac:dyDescent="0.3">
      <c r="A333" t="s">
        <v>712</v>
      </c>
      <c r="B333" t="s">
        <v>418</v>
      </c>
      <c r="C333" t="s">
        <v>685</v>
      </c>
      <c r="D333" t="s">
        <v>80</v>
      </c>
      <c r="E333" t="s">
        <v>119</v>
      </c>
      <c r="F333" t="s">
        <v>31</v>
      </c>
      <c r="G333" t="s">
        <v>120</v>
      </c>
      <c r="H333" t="s">
        <v>33</v>
      </c>
      <c r="I333" t="s">
        <v>68</v>
      </c>
      <c r="J333" t="s">
        <v>133</v>
      </c>
      <c r="K333" t="s">
        <v>62</v>
      </c>
      <c r="L333">
        <v>5</v>
      </c>
      <c r="M333">
        <v>34000</v>
      </c>
      <c r="N333">
        <v>20</v>
      </c>
      <c r="O333">
        <v>7150.23</v>
      </c>
    </row>
    <row r="334" spans="1:15" x14ac:dyDescent="0.3">
      <c r="A334" t="s">
        <v>713</v>
      </c>
      <c r="B334" t="s">
        <v>664</v>
      </c>
      <c r="C334" t="s">
        <v>297</v>
      </c>
      <c r="D334" t="s">
        <v>102</v>
      </c>
      <c r="E334" t="s">
        <v>56</v>
      </c>
      <c r="F334" t="s">
        <v>57</v>
      </c>
      <c r="G334" t="s">
        <v>58</v>
      </c>
      <c r="H334" t="s">
        <v>40</v>
      </c>
      <c r="I334" t="s">
        <v>41</v>
      </c>
      <c r="J334" t="s">
        <v>42</v>
      </c>
      <c r="K334" t="s">
        <v>43</v>
      </c>
      <c r="L334">
        <v>5</v>
      </c>
      <c r="M334">
        <v>1662.5</v>
      </c>
      <c r="N334">
        <v>5</v>
      </c>
      <c r="O334">
        <v>208.41</v>
      </c>
    </row>
    <row r="335" spans="1:15" x14ac:dyDescent="0.3">
      <c r="A335" t="s">
        <v>714</v>
      </c>
      <c r="B335" t="s">
        <v>653</v>
      </c>
      <c r="C335" t="s">
        <v>79</v>
      </c>
      <c r="D335" t="s">
        <v>85</v>
      </c>
      <c r="E335" t="s">
        <v>30</v>
      </c>
      <c r="F335" t="s">
        <v>31</v>
      </c>
      <c r="G335" t="s">
        <v>32</v>
      </c>
      <c r="H335" t="s">
        <v>40</v>
      </c>
      <c r="I335" t="s">
        <v>50</v>
      </c>
      <c r="J335" t="s">
        <v>51</v>
      </c>
      <c r="K335" t="s">
        <v>62</v>
      </c>
      <c r="L335">
        <v>2</v>
      </c>
      <c r="M335">
        <v>11700</v>
      </c>
      <c r="N335">
        <v>10</v>
      </c>
      <c r="O335">
        <v>1854.88</v>
      </c>
    </row>
    <row r="336" spans="1:15" x14ac:dyDescent="0.3">
      <c r="A336" t="s">
        <v>715</v>
      </c>
      <c r="B336" t="s">
        <v>299</v>
      </c>
      <c r="C336" t="s">
        <v>341</v>
      </c>
      <c r="D336" t="s">
        <v>18</v>
      </c>
      <c r="E336" t="s">
        <v>89</v>
      </c>
      <c r="F336" t="s">
        <v>20</v>
      </c>
      <c r="G336" t="s">
        <v>49</v>
      </c>
      <c r="H336" t="s">
        <v>33</v>
      </c>
      <c r="I336" t="s">
        <v>68</v>
      </c>
      <c r="J336" t="s">
        <v>69</v>
      </c>
      <c r="K336" t="s">
        <v>43</v>
      </c>
      <c r="L336">
        <v>5</v>
      </c>
      <c r="M336">
        <v>4050</v>
      </c>
      <c r="N336">
        <v>10</v>
      </c>
      <c r="O336">
        <v>427.42</v>
      </c>
    </row>
    <row r="337" spans="1:15" x14ac:dyDescent="0.3">
      <c r="A337" t="s">
        <v>716</v>
      </c>
      <c r="B337" t="s">
        <v>406</v>
      </c>
      <c r="C337" t="s">
        <v>385</v>
      </c>
      <c r="D337" t="s">
        <v>47</v>
      </c>
      <c r="E337" t="s">
        <v>48</v>
      </c>
      <c r="F337" t="s">
        <v>20</v>
      </c>
      <c r="G337" t="s">
        <v>49</v>
      </c>
      <c r="H337" t="s">
        <v>59</v>
      </c>
      <c r="I337" t="s">
        <v>93</v>
      </c>
      <c r="J337" t="s">
        <v>94</v>
      </c>
      <c r="K337" t="s">
        <v>25</v>
      </c>
      <c r="L337">
        <v>5</v>
      </c>
      <c r="M337">
        <v>6000</v>
      </c>
      <c r="N337">
        <v>20</v>
      </c>
      <c r="O337">
        <v>646.6</v>
      </c>
    </row>
    <row r="338" spans="1:15" x14ac:dyDescent="0.3">
      <c r="A338" t="s">
        <v>717</v>
      </c>
      <c r="B338" t="s">
        <v>334</v>
      </c>
      <c r="C338" t="s">
        <v>718</v>
      </c>
      <c r="D338" t="s">
        <v>55</v>
      </c>
      <c r="E338" t="s">
        <v>106</v>
      </c>
      <c r="F338" t="s">
        <v>20</v>
      </c>
      <c r="G338" t="s">
        <v>49</v>
      </c>
      <c r="H338" t="s">
        <v>33</v>
      </c>
      <c r="I338" t="s">
        <v>68</v>
      </c>
      <c r="J338" t="s">
        <v>69</v>
      </c>
      <c r="K338" t="s">
        <v>62</v>
      </c>
      <c r="L338">
        <v>3</v>
      </c>
      <c r="M338">
        <v>6270</v>
      </c>
      <c r="N338">
        <v>5</v>
      </c>
      <c r="O338">
        <v>545.85</v>
      </c>
    </row>
    <row r="339" spans="1:15" x14ac:dyDescent="0.3">
      <c r="A339" t="s">
        <v>719</v>
      </c>
      <c r="B339" t="s">
        <v>320</v>
      </c>
      <c r="C339" t="s">
        <v>720</v>
      </c>
      <c r="D339" t="s">
        <v>98</v>
      </c>
      <c r="E339" t="s">
        <v>56</v>
      </c>
      <c r="F339" t="s">
        <v>57</v>
      </c>
      <c r="G339" t="s">
        <v>58</v>
      </c>
      <c r="H339" t="s">
        <v>22</v>
      </c>
      <c r="I339" t="s">
        <v>155</v>
      </c>
      <c r="J339" t="s">
        <v>156</v>
      </c>
      <c r="K339" t="s">
        <v>25</v>
      </c>
      <c r="L339">
        <v>3</v>
      </c>
      <c r="M339">
        <v>1050</v>
      </c>
      <c r="N339">
        <v>0</v>
      </c>
      <c r="O339">
        <v>215.85</v>
      </c>
    </row>
    <row r="340" spans="1:15" x14ac:dyDescent="0.3">
      <c r="A340" t="s">
        <v>721</v>
      </c>
      <c r="B340" t="s">
        <v>691</v>
      </c>
      <c r="C340" t="s">
        <v>722</v>
      </c>
      <c r="D340" t="s">
        <v>47</v>
      </c>
      <c r="E340" t="s">
        <v>113</v>
      </c>
      <c r="F340" t="s">
        <v>114</v>
      </c>
      <c r="G340" t="s">
        <v>115</v>
      </c>
      <c r="H340" t="s">
        <v>33</v>
      </c>
      <c r="I340" t="s">
        <v>68</v>
      </c>
      <c r="J340" t="s">
        <v>133</v>
      </c>
      <c r="K340" t="s">
        <v>81</v>
      </c>
      <c r="L340">
        <v>3</v>
      </c>
      <c r="M340">
        <v>4860</v>
      </c>
      <c r="N340">
        <v>10</v>
      </c>
      <c r="O340">
        <v>777.37</v>
      </c>
    </row>
    <row r="341" spans="1:15" x14ac:dyDescent="0.3">
      <c r="A341" t="s">
        <v>723</v>
      </c>
      <c r="B341" t="s">
        <v>258</v>
      </c>
      <c r="C341" t="s">
        <v>641</v>
      </c>
      <c r="D341" t="s">
        <v>39</v>
      </c>
      <c r="E341" t="s">
        <v>130</v>
      </c>
      <c r="F341" t="s">
        <v>131</v>
      </c>
      <c r="G341" t="s">
        <v>132</v>
      </c>
      <c r="H341" t="s">
        <v>22</v>
      </c>
      <c r="I341" t="s">
        <v>155</v>
      </c>
      <c r="J341" t="s">
        <v>156</v>
      </c>
      <c r="K341" t="s">
        <v>62</v>
      </c>
      <c r="L341">
        <v>4</v>
      </c>
      <c r="M341">
        <v>1710</v>
      </c>
      <c r="N341">
        <v>5</v>
      </c>
      <c r="O341">
        <v>195.65</v>
      </c>
    </row>
    <row r="342" spans="1:15" x14ac:dyDescent="0.3">
      <c r="A342" t="s">
        <v>724</v>
      </c>
      <c r="B342" t="s">
        <v>336</v>
      </c>
      <c r="C342" t="s">
        <v>329</v>
      </c>
      <c r="D342" t="s">
        <v>18</v>
      </c>
      <c r="E342" t="s">
        <v>30</v>
      </c>
      <c r="F342" t="s">
        <v>31</v>
      </c>
      <c r="G342" t="s">
        <v>32</v>
      </c>
      <c r="H342" t="s">
        <v>22</v>
      </c>
      <c r="I342" t="s">
        <v>155</v>
      </c>
      <c r="J342" t="s">
        <v>156</v>
      </c>
      <c r="K342" t="s">
        <v>81</v>
      </c>
      <c r="L342">
        <v>5</v>
      </c>
      <c r="M342">
        <v>30875</v>
      </c>
      <c r="N342">
        <v>5</v>
      </c>
      <c r="O342">
        <v>3832.3</v>
      </c>
    </row>
    <row r="343" spans="1:15" x14ac:dyDescent="0.3">
      <c r="A343" t="s">
        <v>725</v>
      </c>
      <c r="B343" t="s">
        <v>191</v>
      </c>
      <c r="C343" t="s">
        <v>687</v>
      </c>
      <c r="D343" t="s">
        <v>98</v>
      </c>
      <c r="E343" t="s">
        <v>89</v>
      </c>
      <c r="F343" t="s">
        <v>20</v>
      </c>
      <c r="G343" t="s">
        <v>49</v>
      </c>
      <c r="H343" t="s">
        <v>33</v>
      </c>
      <c r="I343" t="s">
        <v>34</v>
      </c>
      <c r="J343" t="s">
        <v>35</v>
      </c>
      <c r="K343" t="s">
        <v>62</v>
      </c>
      <c r="L343">
        <v>1</v>
      </c>
      <c r="M343">
        <v>900</v>
      </c>
      <c r="N343">
        <v>0</v>
      </c>
      <c r="O343">
        <v>183.15</v>
      </c>
    </row>
    <row r="344" spans="1:15" x14ac:dyDescent="0.3">
      <c r="A344" t="s">
        <v>726</v>
      </c>
      <c r="B344" t="s">
        <v>727</v>
      </c>
      <c r="C344" t="s">
        <v>396</v>
      </c>
      <c r="D344" t="s">
        <v>85</v>
      </c>
      <c r="E344" t="s">
        <v>66</v>
      </c>
      <c r="F344" t="s">
        <v>20</v>
      </c>
      <c r="G344" t="s">
        <v>67</v>
      </c>
      <c r="H344" t="s">
        <v>33</v>
      </c>
      <c r="I344" t="s">
        <v>34</v>
      </c>
      <c r="J344" t="s">
        <v>35</v>
      </c>
      <c r="K344" t="s">
        <v>62</v>
      </c>
      <c r="L344">
        <v>2</v>
      </c>
      <c r="M344">
        <v>24000</v>
      </c>
      <c r="N344">
        <v>0</v>
      </c>
      <c r="O344">
        <v>4355.21</v>
      </c>
    </row>
    <row r="345" spans="1:15" x14ac:dyDescent="0.3">
      <c r="A345" t="s">
        <v>728</v>
      </c>
      <c r="B345" t="s">
        <v>687</v>
      </c>
      <c r="C345" t="s">
        <v>283</v>
      </c>
      <c r="D345" t="s">
        <v>102</v>
      </c>
      <c r="E345" t="s">
        <v>89</v>
      </c>
      <c r="F345" t="s">
        <v>20</v>
      </c>
      <c r="G345" t="s">
        <v>49</v>
      </c>
      <c r="H345" t="s">
        <v>59</v>
      </c>
      <c r="I345" t="s">
        <v>60</v>
      </c>
      <c r="J345" t="s">
        <v>61</v>
      </c>
      <c r="K345" t="s">
        <v>62</v>
      </c>
      <c r="L345">
        <v>4</v>
      </c>
      <c r="M345">
        <v>3060</v>
      </c>
      <c r="N345">
        <v>15</v>
      </c>
      <c r="O345">
        <v>456.2</v>
      </c>
    </row>
    <row r="346" spans="1:15" x14ac:dyDescent="0.3">
      <c r="A346" t="s">
        <v>729</v>
      </c>
      <c r="B346" t="s">
        <v>619</v>
      </c>
      <c r="C346" t="s">
        <v>582</v>
      </c>
      <c r="D346" t="s">
        <v>73</v>
      </c>
      <c r="E346" t="s">
        <v>30</v>
      </c>
      <c r="F346" t="s">
        <v>31</v>
      </c>
      <c r="G346" t="s">
        <v>32</v>
      </c>
      <c r="H346" t="s">
        <v>59</v>
      </c>
      <c r="I346" t="s">
        <v>93</v>
      </c>
      <c r="J346" t="s">
        <v>94</v>
      </c>
      <c r="K346" t="s">
        <v>25</v>
      </c>
      <c r="L346">
        <v>3</v>
      </c>
      <c r="M346">
        <v>18525</v>
      </c>
      <c r="N346">
        <v>5</v>
      </c>
      <c r="O346">
        <v>2263.85</v>
      </c>
    </row>
    <row r="347" spans="1:15" x14ac:dyDescent="0.3">
      <c r="A347" t="s">
        <v>730</v>
      </c>
      <c r="B347" t="s">
        <v>267</v>
      </c>
      <c r="C347" t="s">
        <v>513</v>
      </c>
      <c r="D347" t="s">
        <v>73</v>
      </c>
      <c r="E347" t="s">
        <v>30</v>
      </c>
      <c r="F347" t="s">
        <v>31</v>
      </c>
      <c r="G347" t="s">
        <v>32</v>
      </c>
      <c r="H347" t="s">
        <v>40</v>
      </c>
      <c r="I347" t="s">
        <v>41</v>
      </c>
      <c r="J347" t="s">
        <v>42</v>
      </c>
      <c r="K347" t="s">
        <v>43</v>
      </c>
      <c r="L347">
        <v>3</v>
      </c>
      <c r="M347">
        <v>15600</v>
      </c>
      <c r="N347">
        <v>20</v>
      </c>
      <c r="O347">
        <v>2215.1799999999998</v>
      </c>
    </row>
    <row r="348" spans="1:15" x14ac:dyDescent="0.3">
      <c r="A348" t="s">
        <v>731</v>
      </c>
      <c r="B348" t="s">
        <v>508</v>
      </c>
      <c r="C348" t="s">
        <v>457</v>
      </c>
      <c r="D348" t="s">
        <v>29</v>
      </c>
      <c r="E348" t="s">
        <v>19</v>
      </c>
      <c r="F348" t="s">
        <v>20</v>
      </c>
      <c r="G348" t="s">
        <v>21</v>
      </c>
      <c r="H348" t="s">
        <v>33</v>
      </c>
      <c r="I348" t="s">
        <v>34</v>
      </c>
      <c r="J348" t="s">
        <v>35</v>
      </c>
      <c r="K348" t="s">
        <v>62</v>
      </c>
      <c r="L348">
        <v>2</v>
      </c>
      <c r="M348">
        <v>110000</v>
      </c>
      <c r="N348">
        <v>0</v>
      </c>
      <c r="O348">
        <v>18266.71</v>
      </c>
    </row>
    <row r="349" spans="1:15" x14ac:dyDescent="0.3">
      <c r="A349" t="s">
        <v>732</v>
      </c>
      <c r="B349" t="s">
        <v>340</v>
      </c>
      <c r="C349" t="s">
        <v>479</v>
      </c>
      <c r="D349" t="s">
        <v>55</v>
      </c>
      <c r="E349" t="s">
        <v>130</v>
      </c>
      <c r="F349" t="s">
        <v>131</v>
      </c>
      <c r="G349" t="s">
        <v>132</v>
      </c>
      <c r="H349" t="s">
        <v>33</v>
      </c>
      <c r="I349" t="s">
        <v>68</v>
      </c>
      <c r="J349" t="s">
        <v>69</v>
      </c>
      <c r="K349" t="s">
        <v>43</v>
      </c>
      <c r="L349">
        <v>5</v>
      </c>
      <c r="M349">
        <v>2025</v>
      </c>
      <c r="N349">
        <v>10</v>
      </c>
      <c r="O349">
        <v>432.18</v>
      </c>
    </row>
    <row r="350" spans="1:15" x14ac:dyDescent="0.3">
      <c r="A350" t="s">
        <v>733</v>
      </c>
      <c r="B350" t="s">
        <v>734</v>
      </c>
      <c r="C350" t="s">
        <v>582</v>
      </c>
      <c r="D350" t="s">
        <v>98</v>
      </c>
      <c r="E350" t="s">
        <v>48</v>
      </c>
      <c r="F350" t="s">
        <v>20</v>
      </c>
      <c r="G350" t="s">
        <v>49</v>
      </c>
      <c r="H350" t="s">
        <v>22</v>
      </c>
      <c r="I350" t="s">
        <v>155</v>
      </c>
      <c r="J350" t="s">
        <v>156</v>
      </c>
      <c r="K350" t="s">
        <v>62</v>
      </c>
      <c r="L350">
        <v>1</v>
      </c>
      <c r="M350">
        <v>1275</v>
      </c>
      <c r="N350">
        <v>15</v>
      </c>
      <c r="O350">
        <v>117.41</v>
      </c>
    </row>
    <row r="351" spans="1:15" x14ac:dyDescent="0.3">
      <c r="A351" t="s">
        <v>735</v>
      </c>
      <c r="B351" t="s">
        <v>655</v>
      </c>
      <c r="C351" t="s">
        <v>214</v>
      </c>
      <c r="D351" t="s">
        <v>47</v>
      </c>
      <c r="E351" t="s">
        <v>19</v>
      </c>
      <c r="F351" t="s">
        <v>20</v>
      </c>
      <c r="G351" t="s">
        <v>21</v>
      </c>
      <c r="H351" t="s">
        <v>33</v>
      </c>
      <c r="I351" t="s">
        <v>68</v>
      </c>
      <c r="J351" t="s">
        <v>133</v>
      </c>
      <c r="K351" t="s">
        <v>25</v>
      </c>
      <c r="L351">
        <v>1</v>
      </c>
      <c r="M351">
        <v>44000</v>
      </c>
      <c r="N351">
        <v>20</v>
      </c>
      <c r="O351">
        <v>9209.4500000000007</v>
      </c>
    </row>
    <row r="352" spans="1:15" x14ac:dyDescent="0.3">
      <c r="A352" t="s">
        <v>736</v>
      </c>
      <c r="B352" t="s">
        <v>499</v>
      </c>
      <c r="C352" t="s">
        <v>500</v>
      </c>
      <c r="D352" t="s">
        <v>39</v>
      </c>
      <c r="E352" t="s">
        <v>89</v>
      </c>
      <c r="F352" t="s">
        <v>20</v>
      </c>
      <c r="G352" t="s">
        <v>49</v>
      </c>
      <c r="H352" t="s">
        <v>59</v>
      </c>
      <c r="I352" t="s">
        <v>60</v>
      </c>
      <c r="J352" t="s">
        <v>61</v>
      </c>
      <c r="K352" t="s">
        <v>81</v>
      </c>
      <c r="L352">
        <v>4</v>
      </c>
      <c r="M352">
        <v>3600</v>
      </c>
      <c r="N352">
        <v>0</v>
      </c>
      <c r="O352">
        <v>541.4</v>
      </c>
    </row>
    <row r="353" spans="1:15" x14ac:dyDescent="0.3">
      <c r="A353" t="s">
        <v>737</v>
      </c>
      <c r="B353" t="s">
        <v>738</v>
      </c>
      <c r="C353" t="s">
        <v>739</v>
      </c>
      <c r="D353" t="s">
        <v>55</v>
      </c>
      <c r="E353" t="s">
        <v>106</v>
      </c>
      <c r="F353" t="s">
        <v>20</v>
      </c>
      <c r="G353" t="s">
        <v>49</v>
      </c>
      <c r="H353" t="s">
        <v>22</v>
      </c>
      <c r="I353" t="s">
        <v>155</v>
      </c>
      <c r="J353" t="s">
        <v>156</v>
      </c>
      <c r="K353" t="s">
        <v>81</v>
      </c>
      <c r="L353">
        <v>5</v>
      </c>
      <c r="M353">
        <v>9900</v>
      </c>
      <c r="N353">
        <v>10</v>
      </c>
      <c r="O353">
        <v>970.07</v>
      </c>
    </row>
    <row r="354" spans="1:15" x14ac:dyDescent="0.3">
      <c r="A354" t="s">
        <v>740</v>
      </c>
      <c r="B354" t="s">
        <v>493</v>
      </c>
      <c r="C354" t="s">
        <v>421</v>
      </c>
      <c r="D354" t="s">
        <v>47</v>
      </c>
      <c r="E354" t="s">
        <v>130</v>
      </c>
      <c r="F354" t="s">
        <v>131</v>
      </c>
      <c r="G354" t="s">
        <v>132</v>
      </c>
      <c r="H354" t="s">
        <v>22</v>
      </c>
      <c r="I354" t="s">
        <v>23</v>
      </c>
      <c r="J354" t="s">
        <v>24</v>
      </c>
      <c r="K354" t="s">
        <v>62</v>
      </c>
      <c r="L354">
        <v>3</v>
      </c>
      <c r="M354">
        <v>1282.5</v>
      </c>
      <c r="N354">
        <v>5</v>
      </c>
      <c r="O354">
        <v>111.86</v>
      </c>
    </row>
    <row r="355" spans="1:15" x14ac:dyDescent="0.3">
      <c r="A355" t="s">
        <v>741</v>
      </c>
      <c r="B355" t="s">
        <v>664</v>
      </c>
      <c r="C355" t="s">
        <v>197</v>
      </c>
      <c r="D355" t="s">
        <v>47</v>
      </c>
      <c r="E355" t="s">
        <v>89</v>
      </c>
      <c r="F355" t="s">
        <v>20</v>
      </c>
      <c r="G355" t="s">
        <v>49</v>
      </c>
      <c r="H355" t="s">
        <v>40</v>
      </c>
      <c r="I355" t="s">
        <v>50</v>
      </c>
      <c r="J355" t="s">
        <v>51</v>
      </c>
      <c r="K355" t="s">
        <v>62</v>
      </c>
      <c r="L355">
        <v>5</v>
      </c>
      <c r="M355">
        <v>4050</v>
      </c>
      <c r="N355">
        <v>10</v>
      </c>
      <c r="O355">
        <v>560.88</v>
      </c>
    </row>
    <row r="356" spans="1:15" x14ac:dyDescent="0.3">
      <c r="A356" t="s">
        <v>742</v>
      </c>
      <c r="B356" t="s">
        <v>198</v>
      </c>
      <c r="C356" t="s">
        <v>191</v>
      </c>
      <c r="D356" t="s">
        <v>47</v>
      </c>
      <c r="E356" t="s">
        <v>113</v>
      </c>
      <c r="F356" t="s">
        <v>114</v>
      </c>
      <c r="G356" t="s">
        <v>115</v>
      </c>
      <c r="H356" t="s">
        <v>59</v>
      </c>
      <c r="I356" t="s">
        <v>60</v>
      </c>
      <c r="J356" t="s">
        <v>61</v>
      </c>
      <c r="K356" t="s">
        <v>62</v>
      </c>
      <c r="L356">
        <v>3</v>
      </c>
      <c r="M356">
        <v>4320</v>
      </c>
      <c r="N356">
        <v>20</v>
      </c>
      <c r="O356">
        <v>762.11</v>
      </c>
    </row>
    <row r="357" spans="1:15" x14ac:dyDescent="0.3">
      <c r="A357" t="s">
        <v>743</v>
      </c>
      <c r="B357" t="s">
        <v>526</v>
      </c>
      <c r="C357" t="s">
        <v>186</v>
      </c>
      <c r="D357" t="s">
        <v>98</v>
      </c>
      <c r="E357" t="s">
        <v>30</v>
      </c>
      <c r="F357" t="s">
        <v>31</v>
      </c>
      <c r="G357" t="s">
        <v>32</v>
      </c>
      <c r="H357" t="s">
        <v>33</v>
      </c>
      <c r="I357" t="s">
        <v>68</v>
      </c>
      <c r="J357" t="s">
        <v>133</v>
      </c>
      <c r="K357" t="s">
        <v>62</v>
      </c>
      <c r="L357">
        <v>1</v>
      </c>
      <c r="M357">
        <v>6175</v>
      </c>
      <c r="N357">
        <v>5</v>
      </c>
      <c r="O357">
        <v>655.09</v>
      </c>
    </row>
    <row r="358" spans="1:15" x14ac:dyDescent="0.3">
      <c r="A358" t="s">
        <v>744</v>
      </c>
      <c r="B358" t="s">
        <v>269</v>
      </c>
      <c r="C358" t="s">
        <v>745</v>
      </c>
      <c r="D358" t="s">
        <v>29</v>
      </c>
      <c r="E358" t="s">
        <v>30</v>
      </c>
      <c r="F358" t="s">
        <v>31</v>
      </c>
      <c r="G358" t="s">
        <v>32</v>
      </c>
      <c r="H358" t="s">
        <v>59</v>
      </c>
      <c r="I358" t="s">
        <v>93</v>
      </c>
      <c r="J358" t="s">
        <v>94</v>
      </c>
      <c r="K358" t="s">
        <v>81</v>
      </c>
      <c r="L358">
        <v>1</v>
      </c>
      <c r="M358">
        <v>6175</v>
      </c>
      <c r="N358">
        <v>5</v>
      </c>
      <c r="O358">
        <v>1018.21</v>
      </c>
    </row>
    <row r="359" spans="1:15" x14ac:dyDescent="0.3">
      <c r="A359" t="s">
        <v>746</v>
      </c>
      <c r="B359" t="s">
        <v>322</v>
      </c>
      <c r="C359" t="s">
        <v>641</v>
      </c>
      <c r="D359" t="s">
        <v>98</v>
      </c>
      <c r="E359" t="s">
        <v>48</v>
      </c>
      <c r="F359" t="s">
        <v>20</v>
      </c>
      <c r="G359" t="s">
        <v>49</v>
      </c>
      <c r="H359" t="s">
        <v>40</v>
      </c>
      <c r="I359" t="s">
        <v>41</v>
      </c>
      <c r="J359" t="s">
        <v>42</v>
      </c>
      <c r="K359" t="s">
        <v>25</v>
      </c>
      <c r="L359">
        <v>1</v>
      </c>
      <c r="M359">
        <v>1500</v>
      </c>
      <c r="N359">
        <v>0</v>
      </c>
      <c r="O359">
        <v>154.97999999999999</v>
      </c>
    </row>
    <row r="360" spans="1:15" x14ac:dyDescent="0.3">
      <c r="A360" t="s">
        <v>747</v>
      </c>
      <c r="B360" t="s">
        <v>662</v>
      </c>
      <c r="C360" t="s">
        <v>408</v>
      </c>
      <c r="D360" t="s">
        <v>98</v>
      </c>
      <c r="E360" t="s">
        <v>119</v>
      </c>
      <c r="F360" t="s">
        <v>31</v>
      </c>
      <c r="G360" t="s">
        <v>120</v>
      </c>
      <c r="H360" t="s">
        <v>40</v>
      </c>
      <c r="I360" t="s">
        <v>41</v>
      </c>
      <c r="J360" t="s">
        <v>42</v>
      </c>
      <c r="K360" t="s">
        <v>81</v>
      </c>
      <c r="L360">
        <v>1</v>
      </c>
      <c r="M360">
        <v>8075</v>
      </c>
      <c r="N360">
        <v>5</v>
      </c>
      <c r="O360">
        <v>886.27</v>
      </c>
    </row>
    <row r="361" spans="1:15" x14ac:dyDescent="0.3">
      <c r="A361" t="s">
        <v>748</v>
      </c>
      <c r="B361" t="s">
        <v>474</v>
      </c>
      <c r="C361" t="s">
        <v>394</v>
      </c>
      <c r="D361" t="s">
        <v>47</v>
      </c>
      <c r="E361" t="s">
        <v>119</v>
      </c>
      <c r="F361" t="s">
        <v>31</v>
      </c>
      <c r="G361" t="s">
        <v>120</v>
      </c>
      <c r="H361" t="s">
        <v>22</v>
      </c>
      <c r="I361" t="s">
        <v>155</v>
      </c>
      <c r="J361" t="s">
        <v>156</v>
      </c>
      <c r="K361" t="s">
        <v>25</v>
      </c>
      <c r="L361">
        <v>2</v>
      </c>
      <c r="M361">
        <v>13600</v>
      </c>
      <c r="N361">
        <v>20</v>
      </c>
      <c r="O361">
        <v>1409.72</v>
      </c>
    </row>
    <row r="362" spans="1:15" x14ac:dyDescent="0.3">
      <c r="A362" t="s">
        <v>749</v>
      </c>
      <c r="B362" t="s">
        <v>727</v>
      </c>
      <c r="C362" t="s">
        <v>533</v>
      </c>
      <c r="D362" t="s">
        <v>18</v>
      </c>
      <c r="E362" t="s">
        <v>89</v>
      </c>
      <c r="F362" t="s">
        <v>20</v>
      </c>
      <c r="G362" t="s">
        <v>49</v>
      </c>
      <c r="H362" t="s">
        <v>33</v>
      </c>
      <c r="I362" t="s">
        <v>68</v>
      </c>
      <c r="J362" t="s">
        <v>69</v>
      </c>
      <c r="K362" t="s">
        <v>25</v>
      </c>
      <c r="L362">
        <v>1</v>
      </c>
      <c r="M362">
        <v>765</v>
      </c>
      <c r="N362">
        <v>15</v>
      </c>
      <c r="O362">
        <v>119.6</v>
      </c>
    </row>
    <row r="363" spans="1:15" x14ac:dyDescent="0.3">
      <c r="A363" t="s">
        <v>750</v>
      </c>
      <c r="B363" t="s">
        <v>176</v>
      </c>
      <c r="C363" t="s">
        <v>277</v>
      </c>
      <c r="D363" t="s">
        <v>73</v>
      </c>
      <c r="E363" t="s">
        <v>30</v>
      </c>
      <c r="F363" t="s">
        <v>31</v>
      </c>
      <c r="G363" t="s">
        <v>32</v>
      </c>
      <c r="H363" t="s">
        <v>33</v>
      </c>
      <c r="I363" t="s">
        <v>34</v>
      </c>
      <c r="J363" t="s">
        <v>35</v>
      </c>
      <c r="K363" t="s">
        <v>25</v>
      </c>
      <c r="L363">
        <v>1</v>
      </c>
      <c r="M363">
        <v>5200</v>
      </c>
      <c r="N363">
        <v>20</v>
      </c>
      <c r="O363">
        <v>649.61</v>
      </c>
    </row>
    <row r="364" spans="1:15" x14ac:dyDescent="0.3">
      <c r="A364" t="s">
        <v>751</v>
      </c>
      <c r="B364" t="s">
        <v>91</v>
      </c>
      <c r="C364" t="s">
        <v>179</v>
      </c>
      <c r="D364" t="s">
        <v>55</v>
      </c>
      <c r="E364" t="s">
        <v>106</v>
      </c>
      <c r="F364" t="s">
        <v>20</v>
      </c>
      <c r="G364" t="s">
        <v>49</v>
      </c>
      <c r="H364" t="s">
        <v>22</v>
      </c>
      <c r="I364" t="s">
        <v>155</v>
      </c>
      <c r="J364" t="s">
        <v>156</v>
      </c>
      <c r="K364" t="s">
        <v>25</v>
      </c>
      <c r="L364">
        <v>3</v>
      </c>
      <c r="M364">
        <v>5280</v>
      </c>
      <c r="N364">
        <v>20</v>
      </c>
      <c r="O364">
        <v>964.4</v>
      </c>
    </row>
    <row r="365" spans="1:15" x14ac:dyDescent="0.3">
      <c r="A365" t="s">
        <v>752</v>
      </c>
      <c r="B365" t="s">
        <v>753</v>
      </c>
      <c r="C365" t="s">
        <v>364</v>
      </c>
      <c r="D365" t="s">
        <v>55</v>
      </c>
      <c r="E365" t="s">
        <v>113</v>
      </c>
      <c r="F365" t="s">
        <v>114</v>
      </c>
      <c r="G365" t="s">
        <v>115</v>
      </c>
      <c r="H365" t="s">
        <v>59</v>
      </c>
      <c r="I365" t="s">
        <v>93</v>
      </c>
      <c r="J365" t="s">
        <v>94</v>
      </c>
      <c r="K365" t="s">
        <v>43</v>
      </c>
      <c r="L365">
        <v>4</v>
      </c>
      <c r="M365">
        <v>7200</v>
      </c>
      <c r="N365">
        <v>0</v>
      </c>
      <c r="O365">
        <v>1203.6099999999999</v>
      </c>
    </row>
    <row r="366" spans="1:15" x14ac:dyDescent="0.3">
      <c r="A366" t="s">
        <v>754</v>
      </c>
      <c r="B366" t="s">
        <v>274</v>
      </c>
      <c r="C366" t="s">
        <v>252</v>
      </c>
      <c r="D366" t="s">
        <v>47</v>
      </c>
      <c r="E366" t="s">
        <v>56</v>
      </c>
      <c r="F366" t="s">
        <v>57</v>
      </c>
      <c r="G366" t="s">
        <v>58</v>
      </c>
      <c r="H366" t="s">
        <v>59</v>
      </c>
      <c r="I366" t="s">
        <v>60</v>
      </c>
      <c r="J366" t="s">
        <v>61</v>
      </c>
      <c r="K366" t="s">
        <v>25</v>
      </c>
      <c r="L366">
        <v>3</v>
      </c>
      <c r="M366">
        <v>840</v>
      </c>
      <c r="N366">
        <v>20</v>
      </c>
      <c r="O366">
        <v>139.82</v>
      </c>
    </row>
    <row r="367" spans="1:15" x14ac:dyDescent="0.3">
      <c r="A367" t="s">
        <v>755</v>
      </c>
      <c r="B367" t="s">
        <v>203</v>
      </c>
      <c r="C367" t="s">
        <v>340</v>
      </c>
      <c r="D367" t="s">
        <v>85</v>
      </c>
      <c r="E367" t="s">
        <v>30</v>
      </c>
      <c r="F367" t="s">
        <v>31</v>
      </c>
      <c r="G367" t="s">
        <v>32</v>
      </c>
      <c r="H367" t="s">
        <v>33</v>
      </c>
      <c r="I367" t="s">
        <v>34</v>
      </c>
      <c r="J367" t="s">
        <v>35</v>
      </c>
      <c r="K367" t="s">
        <v>43</v>
      </c>
      <c r="L367">
        <v>4</v>
      </c>
      <c r="M367">
        <v>26000</v>
      </c>
      <c r="N367">
        <v>0</v>
      </c>
      <c r="O367">
        <v>2432.6799999999998</v>
      </c>
    </row>
    <row r="368" spans="1:15" x14ac:dyDescent="0.3">
      <c r="A368" t="s">
        <v>756</v>
      </c>
      <c r="B368" t="s">
        <v>627</v>
      </c>
      <c r="C368" t="s">
        <v>710</v>
      </c>
      <c r="D368" t="s">
        <v>98</v>
      </c>
      <c r="E368" t="s">
        <v>106</v>
      </c>
      <c r="F368" t="s">
        <v>20</v>
      </c>
      <c r="G368" t="s">
        <v>49</v>
      </c>
      <c r="H368" t="s">
        <v>22</v>
      </c>
      <c r="I368" t="s">
        <v>155</v>
      </c>
      <c r="J368" t="s">
        <v>156</v>
      </c>
      <c r="K368" t="s">
        <v>43</v>
      </c>
      <c r="L368">
        <v>4</v>
      </c>
      <c r="M368">
        <v>8800</v>
      </c>
      <c r="N368">
        <v>0</v>
      </c>
      <c r="O368">
        <v>955.55</v>
      </c>
    </row>
    <row r="369" spans="1:15" x14ac:dyDescent="0.3">
      <c r="A369" t="s">
        <v>757</v>
      </c>
      <c r="B369" t="s">
        <v>758</v>
      </c>
      <c r="C369" t="s">
        <v>445</v>
      </c>
      <c r="D369" t="s">
        <v>29</v>
      </c>
      <c r="E369" t="s">
        <v>19</v>
      </c>
      <c r="F369" t="s">
        <v>20</v>
      </c>
      <c r="G369" t="s">
        <v>21</v>
      </c>
      <c r="H369" t="s">
        <v>59</v>
      </c>
      <c r="I369" t="s">
        <v>60</v>
      </c>
      <c r="J369" t="s">
        <v>61</v>
      </c>
      <c r="K369" t="s">
        <v>43</v>
      </c>
      <c r="L369">
        <v>4</v>
      </c>
      <c r="M369">
        <v>209000</v>
      </c>
      <c r="N369">
        <v>5</v>
      </c>
      <c r="O369">
        <v>18825.8</v>
      </c>
    </row>
    <row r="370" spans="1:15" x14ac:dyDescent="0.3">
      <c r="A370" t="s">
        <v>759</v>
      </c>
      <c r="B370" t="s">
        <v>198</v>
      </c>
      <c r="C370" t="s">
        <v>687</v>
      </c>
      <c r="D370" t="s">
        <v>29</v>
      </c>
      <c r="E370" t="s">
        <v>66</v>
      </c>
      <c r="F370" t="s">
        <v>20</v>
      </c>
      <c r="G370" t="s">
        <v>67</v>
      </c>
      <c r="H370" t="s">
        <v>22</v>
      </c>
      <c r="I370" t="s">
        <v>155</v>
      </c>
      <c r="J370" t="s">
        <v>156</v>
      </c>
      <c r="K370" t="s">
        <v>62</v>
      </c>
      <c r="L370">
        <v>5</v>
      </c>
      <c r="M370">
        <v>48000</v>
      </c>
      <c r="N370">
        <v>20</v>
      </c>
      <c r="O370">
        <v>7576.78</v>
      </c>
    </row>
    <row r="371" spans="1:15" x14ac:dyDescent="0.3">
      <c r="A371" t="s">
        <v>760</v>
      </c>
      <c r="B371" t="s">
        <v>761</v>
      </c>
      <c r="C371" t="s">
        <v>234</v>
      </c>
      <c r="D371" t="s">
        <v>85</v>
      </c>
      <c r="E371" t="s">
        <v>66</v>
      </c>
      <c r="F371" t="s">
        <v>20</v>
      </c>
      <c r="G371" t="s">
        <v>67</v>
      </c>
      <c r="H371" t="s">
        <v>59</v>
      </c>
      <c r="I371" t="s">
        <v>93</v>
      </c>
      <c r="J371" t="s">
        <v>94</v>
      </c>
      <c r="K371" t="s">
        <v>43</v>
      </c>
      <c r="L371">
        <v>3</v>
      </c>
      <c r="M371">
        <v>36000</v>
      </c>
      <c r="N371">
        <v>0</v>
      </c>
      <c r="O371">
        <v>7788.64</v>
      </c>
    </row>
    <row r="372" spans="1:15" x14ac:dyDescent="0.3">
      <c r="A372" t="s">
        <v>762</v>
      </c>
      <c r="B372" t="s">
        <v>333</v>
      </c>
      <c r="C372" t="s">
        <v>334</v>
      </c>
      <c r="D372" t="s">
        <v>55</v>
      </c>
      <c r="E372" t="s">
        <v>89</v>
      </c>
      <c r="F372" t="s">
        <v>20</v>
      </c>
      <c r="G372" t="s">
        <v>49</v>
      </c>
      <c r="H372" t="s">
        <v>22</v>
      </c>
      <c r="I372" t="s">
        <v>23</v>
      </c>
      <c r="J372" t="s">
        <v>24</v>
      </c>
      <c r="K372" t="s">
        <v>81</v>
      </c>
      <c r="L372">
        <v>5</v>
      </c>
      <c r="M372">
        <v>3825</v>
      </c>
      <c r="N372">
        <v>15</v>
      </c>
      <c r="O372">
        <v>801.62</v>
      </c>
    </row>
    <row r="373" spans="1:15" x14ac:dyDescent="0.3">
      <c r="A373" t="s">
        <v>763</v>
      </c>
      <c r="B373" t="s">
        <v>635</v>
      </c>
      <c r="C373" t="s">
        <v>636</v>
      </c>
      <c r="D373" t="s">
        <v>73</v>
      </c>
      <c r="E373" t="s">
        <v>19</v>
      </c>
      <c r="F373" t="s">
        <v>20</v>
      </c>
      <c r="G373" t="s">
        <v>21</v>
      </c>
      <c r="H373" t="s">
        <v>22</v>
      </c>
      <c r="I373" t="s">
        <v>155</v>
      </c>
      <c r="J373" t="s">
        <v>156</v>
      </c>
      <c r="K373" t="s">
        <v>25</v>
      </c>
      <c r="L373">
        <v>1</v>
      </c>
      <c r="M373">
        <v>55000</v>
      </c>
      <c r="N373">
        <v>0</v>
      </c>
      <c r="O373">
        <v>6083.23</v>
      </c>
    </row>
    <row r="374" spans="1:15" x14ac:dyDescent="0.3">
      <c r="A374" t="s">
        <v>764</v>
      </c>
      <c r="B374" t="s">
        <v>765</v>
      </c>
      <c r="C374" t="s">
        <v>766</v>
      </c>
      <c r="D374" t="s">
        <v>80</v>
      </c>
      <c r="E374" t="s">
        <v>19</v>
      </c>
      <c r="F374" t="s">
        <v>20</v>
      </c>
      <c r="G374" t="s">
        <v>21</v>
      </c>
      <c r="H374" t="s">
        <v>59</v>
      </c>
      <c r="I374" t="s">
        <v>60</v>
      </c>
      <c r="J374" t="s">
        <v>61</v>
      </c>
      <c r="K374" t="s">
        <v>43</v>
      </c>
      <c r="L374">
        <v>2</v>
      </c>
      <c r="M374">
        <v>104500</v>
      </c>
      <c r="N374">
        <v>5</v>
      </c>
      <c r="O374">
        <v>12346.51</v>
      </c>
    </row>
    <row r="375" spans="1:15" x14ac:dyDescent="0.3">
      <c r="A375" t="s">
        <v>767</v>
      </c>
      <c r="B375" t="s">
        <v>547</v>
      </c>
      <c r="C375" t="s">
        <v>454</v>
      </c>
      <c r="D375" t="s">
        <v>39</v>
      </c>
      <c r="E375" t="s">
        <v>30</v>
      </c>
      <c r="F375" t="s">
        <v>31</v>
      </c>
      <c r="G375" t="s">
        <v>32</v>
      </c>
      <c r="H375" t="s">
        <v>59</v>
      </c>
      <c r="I375" t="s">
        <v>60</v>
      </c>
      <c r="J375" t="s">
        <v>61</v>
      </c>
      <c r="K375" t="s">
        <v>62</v>
      </c>
      <c r="L375">
        <v>5</v>
      </c>
      <c r="M375">
        <v>26000</v>
      </c>
      <c r="N375">
        <v>20</v>
      </c>
      <c r="O375">
        <v>3915.47</v>
      </c>
    </row>
    <row r="376" spans="1:15" x14ac:dyDescent="0.3">
      <c r="A376" t="s">
        <v>768</v>
      </c>
      <c r="B376" t="s">
        <v>769</v>
      </c>
      <c r="C376" t="s">
        <v>562</v>
      </c>
      <c r="D376" t="s">
        <v>39</v>
      </c>
      <c r="E376" t="s">
        <v>56</v>
      </c>
      <c r="F376" t="s">
        <v>57</v>
      </c>
      <c r="G376" t="s">
        <v>58</v>
      </c>
      <c r="H376" t="s">
        <v>22</v>
      </c>
      <c r="I376" t="s">
        <v>155</v>
      </c>
      <c r="J376" t="s">
        <v>156</v>
      </c>
      <c r="K376" t="s">
        <v>81</v>
      </c>
      <c r="L376">
        <v>3</v>
      </c>
      <c r="M376">
        <v>840</v>
      </c>
      <c r="N376">
        <v>20</v>
      </c>
      <c r="O376">
        <v>69.069999999999993</v>
      </c>
    </row>
    <row r="377" spans="1:15" x14ac:dyDescent="0.3">
      <c r="A377" t="s">
        <v>770</v>
      </c>
      <c r="B377" t="s">
        <v>659</v>
      </c>
      <c r="C377" t="s">
        <v>660</v>
      </c>
      <c r="D377" t="s">
        <v>39</v>
      </c>
      <c r="E377" t="s">
        <v>89</v>
      </c>
      <c r="F377" t="s">
        <v>20</v>
      </c>
      <c r="G377" t="s">
        <v>49</v>
      </c>
      <c r="H377" t="s">
        <v>59</v>
      </c>
      <c r="I377" t="s">
        <v>60</v>
      </c>
      <c r="J377" t="s">
        <v>61</v>
      </c>
      <c r="K377" t="s">
        <v>25</v>
      </c>
      <c r="L377">
        <v>3</v>
      </c>
      <c r="M377">
        <v>2430</v>
      </c>
      <c r="N377">
        <v>10</v>
      </c>
      <c r="O377">
        <v>345.53</v>
      </c>
    </row>
    <row r="378" spans="1:15" x14ac:dyDescent="0.3">
      <c r="A378" t="s">
        <v>771</v>
      </c>
      <c r="B378" t="s">
        <v>237</v>
      </c>
      <c r="C378" t="s">
        <v>772</v>
      </c>
      <c r="D378" t="s">
        <v>102</v>
      </c>
      <c r="E378" t="s">
        <v>66</v>
      </c>
      <c r="F378" t="s">
        <v>20</v>
      </c>
      <c r="G378" t="s">
        <v>67</v>
      </c>
      <c r="H378" t="s">
        <v>40</v>
      </c>
      <c r="I378" t="s">
        <v>41</v>
      </c>
      <c r="J378" t="s">
        <v>42</v>
      </c>
      <c r="K378" t="s">
        <v>62</v>
      </c>
      <c r="L378">
        <v>3</v>
      </c>
      <c r="M378">
        <v>36000</v>
      </c>
      <c r="N378">
        <v>0</v>
      </c>
      <c r="O378">
        <v>7034.49</v>
      </c>
    </row>
    <row r="379" spans="1:15" x14ac:dyDescent="0.3">
      <c r="A379" t="s">
        <v>773</v>
      </c>
      <c r="B379" t="s">
        <v>235</v>
      </c>
      <c r="C379" t="s">
        <v>326</v>
      </c>
      <c r="D379" t="s">
        <v>39</v>
      </c>
      <c r="E379" t="s">
        <v>48</v>
      </c>
      <c r="F379" t="s">
        <v>20</v>
      </c>
      <c r="G379" t="s">
        <v>49</v>
      </c>
      <c r="H379" t="s">
        <v>33</v>
      </c>
      <c r="I379" t="s">
        <v>68</v>
      </c>
      <c r="J379" t="s">
        <v>133</v>
      </c>
      <c r="K379" t="s">
        <v>25</v>
      </c>
      <c r="L379">
        <v>5</v>
      </c>
      <c r="M379">
        <v>6750</v>
      </c>
      <c r="N379">
        <v>10</v>
      </c>
      <c r="O379">
        <v>1318.54</v>
      </c>
    </row>
    <row r="380" spans="1:15" x14ac:dyDescent="0.3">
      <c r="A380" t="s">
        <v>774</v>
      </c>
      <c r="B380" t="s">
        <v>490</v>
      </c>
      <c r="C380" t="s">
        <v>65</v>
      </c>
      <c r="D380" t="s">
        <v>39</v>
      </c>
      <c r="E380" t="s">
        <v>119</v>
      </c>
      <c r="F380" t="s">
        <v>31</v>
      </c>
      <c r="G380" t="s">
        <v>120</v>
      </c>
      <c r="H380" t="s">
        <v>22</v>
      </c>
      <c r="I380" t="s">
        <v>23</v>
      </c>
      <c r="J380" t="s">
        <v>24</v>
      </c>
      <c r="K380" t="s">
        <v>62</v>
      </c>
      <c r="L380">
        <v>2</v>
      </c>
      <c r="M380">
        <v>15300</v>
      </c>
      <c r="N380">
        <v>10</v>
      </c>
      <c r="O380">
        <v>2482.9899999999998</v>
      </c>
    </row>
    <row r="381" spans="1:15" x14ac:dyDescent="0.3">
      <c r="A381" t="s">
        <v>775</v>
      </c>
      <c r="B381" t="s">
        <v>72</v>
      </c>
      <c r="C381" t="s">
        <v>776</v>
      </c>
      <c r="D381" t="s">
        <v>98</v>
      </c>
      <c r="E381" t="s">
        <v>19</v>
      </c>
      <c r="F381" t="s">
        <v>20</v>
      </c>
      <c r="G381" t="s">
        <v>21</v>
      </c>
      <c r="H381" t="s">
        <v>40</v>
      </c>
      <c r="I381" t="s">
        <v>41</v>
      </c>
      <c r="J381" t="s">
        <v>42</v>
      </c>
      <c r="K381" t="s">
        <v>62</v>
      </c>
      <c r="L381">
        <v>4</v>
      </c>
      <c r="M381">
        <v>176000</v>
      </c>
      <c r="N381">
        <v>20</v>
      </c>
      <c r="O381">
        <v>17355.25</v>
      </c>
    </row>
    <row r="382" spans="1:15" x14ac:dyDescent="0.3">
      <c r="A382" t="s">
        <v>777</v>
      </c>
      <c r="B382" t="s">
        <v>720</v>
      </c>
      <c r="C382" t="s">
        <v>776</v>
      </c>
      <c r="D382" t="s">
        <v>39</v>
      </c>
      <c r="E382" t="s">
        <v>106</v>
      </c>
      <c r="F382" t="s">
        <v>20</v>
      </c>
      <c r="G382" t="s">
        <v>49</v>
      </c>
      <c r="H382" t="s">
        <v>40</v>
      </c>
      <c r="I382" t="s">
        <v>41</v>
      </c>
      <c r="J382" t="s">
        <v>42</v>
      </c>
      <c r="K382" t="s">
        <v>25</v>
      </c>
      <c r="L382">
        <v>4</v>
      </c>
      <c r="M382">
        <v>8360</v>
      </c>
      <c r="N382">
        <v>5</v>
      </c>
      <c r="O382">
        <v>1775.38</v>
      </c>
    </row>
    <row r="383" spans="1:15" x14ac:dyDescent="0.3">
      <c r="A383" t="s">
        <v>778</v>
      </c>
      <c r="B383" t="s">
        <v>447</v>
      </c>
      <c r="C383" t="s">
        <v>183</v>
      </c>
      <c r="D383" t="s">
        <v>47</v>
      </c>
      <c r="E383" t="s">
        <v>66</v>
      </c>
      <c r="F383" t="s">
        <v>20</v>
      </c>
      <c r="G383" t="s">
        <v>67</v>
      </c>
      <c r="H383" t="s">
        <v>22</v>
      </c>
      <c r="I383" t="s">
        <v>23</v>
      </c>
      <c r="J383" t="s">
        <v>24</v>
      </c>
      <c r="K383" t="s">
        <v>43</v>
      </c>
      <c r="L383">
        <v>1</v>
      </c>
      <c r="M383">
        <v>10800</v>
      </c>
      <c r="N383">
        <v>10</v>
      </c>
      <c r="O383">
        <v>1127.3499999999999</v>
      </c>
    </row>
    <row r="384" spans="1:15" x14ac:dyDescent="0.3">
      <c r="A384" t="s">
        <v>779</v>
      </c>
      <c r="B384" t="s">
        <v>416</v>
      </c>
      <c r="C384" t="s">
        <v>168</v>
      </c>
      <c r="D384" t="s">
        <v>47</v>
      </c>
      <c r="E384" t="s">
        <v>119</v>
      </c>
      <c r="F384" t="s">
        <v>31</v>
      </c>
      <c r="G384" t="s">
        <v>120</v>
      </c>
      <c r="H384" t="s">
        <v>40</v>
      </c>
      <c r="I384" t="s">
        <v>50</v>
      </c>
      <c r="J384" t="s">
        <v>51</v>
      </c>
      <c r="K384" t="s">
        <v>81</v>
      </c>
      <c r="L384">
        <v>1</v>
      </c>
      <c r="M384">
        <v>8075</v>
      </c>
      <c r="N384">
        <v>5</v>
      </c>
      <c r="O384">
        <v>1439.2</v>
      </c>
    </row>
    <row r="385" spans="1:15" x14ac:dyDescent="0.3">
      <c r="A385" t="s">
        <v>780</v>
      </c>
      <c r="B385" t="s">
        <v>691</v>
      </c>
      <c r="C385" t="s">
        <v>272</v>
      </c>
      <c r="D385" t="s">
        <v>29</v>
      </c>
      <c r="E385" t="s">
        <v>56</v>
      </c>
      <c r="F385" t="s">
        <v>57</v>
      </c>
      <c r="G385" t="s">
        <v>58</v>
      </c>
      <c r="H385" t="s">
        <v>33</v>
      </c>
      <c r="I385" t="s">
        <v>68</v>
      </c>
      <c r="J385" t="s">
        <v>133</v>
      </c>
      <c r="K385" t="s">
        <v>81</v>
      </c>
      <c r="L385">
        <v>3</v>
      </c>
      <c r="M385">
        <v>997.5</v>
      </c>
      <c r="N385">
        <v>5</v>
      </c>
      <c r="O385">
        <v>138.41</v>
      </c>
    </row>
    <row r="386" spans="1:15" x14ac:dyDescent="0.3">
      <c r="A386" t="s">
        <v>781</v>
      </c>
      <c r="B386" t="s">
        <v>782</v>
      </c>
      <c r="C386" t="s">
        <v>783</v>
      </c>
      <c r="D386" t="s">
        <v>18</v>
      </c>
      <c r="E386" t="s">
        <v>48</v>
      </c>
      <c r="F386" t="s">
        <v>20</v>
      </c>
      <c r="G386" t="s">
        <v>49</v>
      </c>
      <c r="H386" t="s">
        <v>40</v>
      </c>
      <c r="I386" t="s">
        <v>41</v>
      </c>
      <c r="J386" t="s">
        <v>42</v>
      </c>
      <c r="K386" t="s">
        <v>62</v>
      </c>
      <c r="L386">
        <v>5</v>
      </c>
      <c r="M386">
        <v>6375</v>
      </c>
      <c r="N386">
        <v>15</v>
      </c>
      <c r="O386">
        <v>816.33</v>
      </c>
    </row>
    <row r="387" spans="1:15" x14ac:dyDescent="0.3">
      <c r="A387" t="s">
        <v>784</v>
      </c>
      <c r="B387" t="s">
        <v>165</v>
      </c>
      <c r="C387" t="s">
        <v>639</v>
      </c>
      <c r="D387" t="s">
        <v>73</v>
      </c>
      <c r="E387" t="s">
        <v>113</v>
      </c>
      <c r="F387" t="s">
        <v>114</v>
      </c>
      <c r="G387" t="s">
        <v>115</v>
      </c>
      <c r="H387" t="s">
        <v>22</v>
      </c>
      <c r="I387" t="s">
        <v>23</v>
      </c>
      <c r="J387" t="s">
        <v>24</v>
      </c>
      <c r="K387" t="s">
        <v>62</v>
      </c>
      <c r="L387">
        <v>5</v>
      </c>
      <c r="M387">
        <v>7200</v>
      </c>
      <c r="N387">
        <v>20</v>
      </c>
      <c r="O387">
        <v>1538.5</v>
      </c>
    </row>
    <row r="388" spans="1:15" x14ac:dyDescent="0.3">
      <c r="A388" t="s">
        <v>785</v>
      </c>
      <c r="B388" t="s">
        <v>546</v>
      </c>
      <c r="C388" t="s">
        <v>786</v>
      </c>
      <c r="D388" t="s">
        <v>98</v>
      </c>
      <c r="E388" t="s">
        <v>106</v>
      </c>
      <c r="F388" t="s">
        <v>20</v>
      </c>
      <c r="G388" t="s">
        <v>49</v>
      </c>
      <c r="H388" t="s">
        <v>40</v>
      </c>
      <c r="I388" t="s">
        <v>50</v>
      </c>
      <c r="J388" t="s">
        <v>51</v>
      </c>
      <c r="K388" t="s">
        <v>43</v>
      </c>
      <c r="L388">
        <v>2</v>
      </c>
      <c r="M388">
        <v>3740</v>
      </c>
      <c r="N388">
        <v>15</v>
      </c>
      <c r="O388">
        <v>504.94</v>
      </c>
    </row>
    <row r="389" spans="1:15" x14ac:dyDescent="0.3">
      <c r="A389" t="s">
        <v>787</v>
      </c>
      <c r="B389" t="s">
        <v>788</v>
      </c>
      <c r="C389" t="s">
        <v>789</v>
      </c>
      <c r="D389" t="s">
        <v>47</v>
      </c>
      <c r="E389" t="s">
        <v>119</v>
      </c>
      <c r="F389" t="s">
        <v>31</v>
      </c>
      <c r="G389" t="s">
        <v>120</v>
      </c>
      <c r="H389" t="s">
        <v>22</v>
      </c>
      <c r="I389" t="s">
        <v>23</v>
      </c>
      <c r="J389" t="s">
        <v>24</v>
      </c>
      <c r="K389" t="s">
        <v>62</v>
      </c>
      <c r="L389">
        <v>2</v>
      </c>
      <c r="M389">
        <v>16150</v>
      </c>
      <c r="N389">
        <v>5</v>
      </c>
      <c r="O389">
        <v>1694.06</v>
      </c>
    </row>
    <row r="390" spans="1:15" x14ac:dyDescent="0.3">
      <c r="A390" t="s">
        <v>790</v>
      </c>
      <c r="B390" t="s">
        <v>292</v>
      </c>
      <c r="C390" t="s">
        <v>96</v>
      </c>
      <c r="D390" t="s">
        <v>73</v>
      </c>
      <c r="E390" t="s">
        <v>19</v>
      </c>
      <c r="F390" t="s">
        <v>20</v>
      </c>
      <c r="G390" t="s">
        <v>21</v>
      </c>
      <c r="H390" t="s">
        <v>33</v>
      </c>
      <c r="I390" t="s">
        <v>34</v>
      </c>
      <c r="J390" t="s">
        <v>35</v>
      </c>
      <c r="K390" t="s">
        <v>62</v>
      </c>
      <c r="L390">
        <v>4</v>
      </c>
      <c r="M390">
        <v>209000</v>
      </c>
      <c r="N390">
        <v>5</v>
      </c>
      <c r="O390">
        <v>40498.089999999997</v>
      </c>
    </row>
    <row r="391" spans="1:15" x14ac:dyDescent="0.3">
      <c r="A391" t="s">
        <v>791</v>
      </c>
      <c r="B391" t="s">
        <v>706</v>
      </c>
      <c r="C391" t="s">
        <v>707</v>
      </c>
      <c r="D391" t="s">
        <v>39</v>
      </c>
      <c r="E391" t="s">
        <v>106</v>
      </c>
      <c r="F391" t="s">
        <v>20</v>
      </c>
      <c r="G391" t="s">
        <v>49</v>
      </c>
      <c r="H391" t="s">
        <v>33</v>
      </c>
      <c r="I391" t="s">
        <v>34</v>
      </c>
      <c r="J391" t="s">
        <v>35</v>
      </c>
      <c r="K391" t="s">
        <v>62</v>
      </c>
      <c r="L391">
        <v>2</v>
      </c>
      <c r="M391">
        <v>3520</v>
      </c>
      <c r="N391">
        <v>20</v>
      </c>
      <c r="O391">
        <v>658.3</v>
      </c>
    </row>
    <row r="392" spans="1:15" x14ac:dyDescent="0.3">
      <c r="A392" t="s">
        <v>792</v>
      </c>
      <c r="B392" t="s">
        <v>793</v>
      </c>
      <c r="C392" t="s">
        <v>234</v>
      </c>
      <c r="D392" t="s">
        <v>73</v>
      </c>
      <c r="E392" t="s">
        <v>48</v>
      </c>
      <c r="F392" t="s">
        <v>20</v>
      </c>
      <c r="G392" t="s">
        <v>49</v>
      </c>
      <c r="H392" t="s">
        <v>33</v>
      </c>
      <c r="I392" t="s">
        <v>34</v>
      </c>
      <c r="J392" t="s">
        <v>35</v>
      </c>
      <c r="K392" t="s">
        <v>25</v>
      </c>
      <c r="L392">
        <v>2</v>
      </c>
      <c r="M392">
        <v>2400</v>
      </c>
      <c r="N392">
        <v>20</v>
      </c>
      <c r="O392">
        <v>496.73</v>
      </c>
    </row>
    <row r="393" spans="1:15" x14ac:dyDescent="0.3">
      <c r="A393" t="s">
        <v>794</v>
      </c>
      <c r="B393" t="s">
        <v>278</v>
      </c>
      <c r="C393" t="s">
        <v>258</v>
      </c>
      <c r="D393" t="s">
        <v>29</v>
      </c>
      <c r="E393" t="s">
        <v>48</v>
      </c>
      <c r="F393" t="s">
        <v>20</v>
      </c>
      <c r="G393" t="s">
        <v>49</v>
      </c>
      <c r="H393" t="s">
        <v>40</v>
      </c>
      <c r="I393" t="s">
        <v>50</v>
      </c>
      <c r="J393" t="s">
        <v>51</v>
      </c>
      <c r="K393" t="s">
        <v>62</v>
      </c>
      <c r="L393">
        <v>4</v>
      </c>
      <c r="M393">
        <v>4800</v>
      </c>
      <c r="N393">
        <v>20</v>
      </c>
      <c r="O393">
        <v>737.85</v>
      </c>
    </row>
    <row r="394" spans="1:15" x14ac:dyDescent="0.3">
      <c r="A394" t="s">
        <v>795</v>
      </c>
      <c r="B394" t="s">
        <v>159</v>
      </c>
      <c r="C394" t="s">
        <v>378</v>
      </c>
      <c r="D394" t="s">
        <v>29</v>
      </c>
      <c r="E394" t="s">
        <v>119</v>
      </c>
      <c r="F394" t="s">
        <v>31</v>
      </c>
      <c r="G394" t="s">
        <v>120</v>
      </c>
      <c r="H394" t="s">
        <v>33</v>
      </c>
      <c r="I394" t="s">
        <v>34</v>
      </c>
      <c r="J394" t="s">
        <v>35</v>
      </c>
      <c r="K394" t="s">
        <v>62</v>
      </c>
      <c r="L394">
        <v>2</v>
      </c>
      <c r="M394">
        <v>15300</v>
      </c>
      <c r="N394">
        <v>10</v>
      </c>
      <c r="O394">
        <v>1739.47</v>
      </c>
    </row>
    <row r="395" spans="1:15" x14ac:dyDescent="0.3">
      <c r="A395" t="s">
        <v>796</v>
      </c>
      <c r="B395" t="s">
        <v>281</v>
      </c>
      <c r="C395" t="s">
        <v>797</v>
      </c>
      <c r="D395" t="s">
        <v>55</v>
      </c>
      <c r="E395" t="s">
        <v>89</v>
      </c>
      <c r="F395" t="s">
        <v>20</v>
      </c>
      <c r="G395" t="s">
        <v>49</v>
      </c>
      <c r="H395" t="s">
        <v>59</v>
      </c>
      <c r="I395" t="s">
        <v>60</v>
      </c>
      <c r="J395" t="s">
        <v>61</v>
      </c>
      <c r="K395" t="s">
        <v>25</v>
      </c>
      <c r="L395">
        <v>4</v>
      </c>
      <c r="M395">
        <v>3240</v>
      </c>
      <c r="N395">
        <v>10</v>
      </c>
      <c r="O395">
        <v>458.56</v>
      </c>
    </row>
    <row r="396" spans="1:15" x14ac:dyDescent="0.3">
      <c r="A396" t="s">
        <v>798</v>
      </c>
      <c r="B396" t="s">
        <v>183</v>
      </c>
      <c r="C396" t="s">
        <v>88</v>
      </c>
      <c r="D396" t="s">
        <v>80</v>
      </c>
      <c r="E396" t="s">
        <v>30</v>
      </c>
      <c r="F396" t="s">
        <v>31</v>
      </c>
      <c r="G396" t="s">
        <v>32</v>
      </c>
      <c r="H396" t="s">
        <v>22</v>
      </c>
      <c r="I396" t="s">
        <v>23</v>
      </c>
      <c r="J396" t="s">
        <v>24</v>
      </c>
      <c r="K396" t="s">
        <v>81</v>
      </c>
      <c r="L396">
        <v>3</v>
      </c>
      <c r="M396">
        <v>19500</v>
      </c>
      <c r="N396">
        <v>0</v>
      </c>
      <c r="O396">
        <v>3324.07</v>
      </c>
    </row>
    <row r="397" spans="1:15" x14ac:dyDescent="0.3">
      <c r="A397" t="s">
        <v>799</v>
      </c>
      <c r="B397" t="s">
        <v>243</v>
      </c>
      <c r="C397" t="s">
        <v>283</v>
      </c>
      <c r="D397" t="s">
        <v>29</v>
      </c>
      <c r="E397" t="s">
        <v>119</v>
      </c>
      <c r="F397" t="s">
        <v>31</v>
      </c>
      <c r="G397" t="s">
        <v>120</v>
      </c>
      <c r="H397" t="s">
        <v>22</v>
      </c>
      <c r="I397" t="s">
        <v>155</v>
      </c>
      <c r="J397" t="s">
        <v>156</v>
      </c>
      <c r="K397" t="s">
        <v>25</v>
      </c>
      <c r="L397">
        <v>5</v>
      </c>
      <c r="M397">
        <v>38250</v>
      </c>
      <c r="N397">
        <v>10</v>
      </c>
      <c r="O397">
        <v>7360.28</v>
      </c>
    </row>
    <row r="398" spans="1:15" x14ac:dyDescent="0.3">
      <c r="A398" t="s">
        <v>800</v>
      </c>
      <c r="B398" t="s">
        <v>399</v>
      </c>
      <c r="C398" t="s">
        <v>801</v>
      </c>
      <c r="D398" t="s">
        <v>98</v>
      </c>
      <c r="E398" t="s">
        <v>48</v>
      </c>
      <c r="F398" t="s">
        <v>20</v>
      </c>
      <c r="G398" t="s">
        <v>49</v>
      </c>
      <c r="H398" t="s">
        <v>22</v>
      </c>
      <c r="I398" t="s">
        <v>23</v>
      </c>
      <c r="J398" t="s">
        <v>24</v>
      </c>
      <c r="K398" t="s">
        <v>62</v>
      </c>
      <c r="L398">
        <v>3</v>
      </c>
      <c r="M398">
        <v>3825</v>
      </c>
      <c r="N398">
        <v>15</v>
      </c>
      <c r="O398">
        <v>676.01</v>
      </c>
    </row>
    <row r="399" spans="1:15" x14ac:dyDescent="0.3">
      <c r="A399" t="s">
        <v>802</v>
      </c>
      <c r="B399" t="s">
        <v>631</v>
      </c>
      <c r="C399" t="s">
        <v>440</v>
      </c>
      <c r="D399" t="s">
        <v>55</v>
      </c>
      <c r="E399" t="s">
        <v>113</v>
      </c>
      <c r="F399" t="s">
        <v>114</v>
      </c>
      <c r="G399" t="s">
        <v>115</v>
      </c>
      <c r="H399" t="s">
        <v>33</v>
      </c>
      <c r="I399" t="s">
        <v>34</v>
      </c>
      <c r="J399" t="s">
        <v>35</v>
      </c>
      <c r="K399" t="s">
        <v>62</v>
      </c>
      <c r="L399">
        <v>1</v>
      </c>
      <c r="M399">
        <v>1710</v>
      </c>
      <c r="N399">
        <v>5</v>
      </c>
      <c r="O399">
        <v>337.67</v>
      </c>
    </row>
    <row r="400" spans="1:15" x14ac:dyDescent="0.3">
      <c r="A400" t="s">
        <v>803</v>
      </c>
      <c r="B400" t="s">
        <v>413</v>
      </c>
      <c r="C400" t="s">
        <v>621</v>
      </c>
      <c r="D400" t="s">
        <v>29</v>
      </c>
      <c r="E400" t="s">
        <v>30</v>
      </c>
      <c r="F400" t="s">
        <v>31</v>
      </c>
      <c r="G400" t="s">
        <v>32</v>
      </c>
      <c r="H400" t="s">
        <v>22</v>
      </c>
      <c r="I400" t="s">
        <v>23</v>
      </c>
      <c r="J400" t="s">
        <v>24</v>
      </c>
      <c r="K400" t="s">
        <v>25</v>
      </c>
      <c r="L400">
        <v>3</v>
      </c>
      <c r="M400">
        <v>16575</v>
      </c>
      <c r="N400">
        <v>15</v>
      </c>
      <c r="O400">
        <v>3324.62</v>
      </c>
    </row>
    <row r="401" spans="1:15" x14ac:dyDescent="0.3">
      <c r="A401" t="s">
        <v>804</v>
      </c>
      <c r="B401" t="s">
        <v>254</v>
      </c>
      <c r="C401" t="s">
        <v>235</v>
      </c>
      <c r="D401" t="s">
        <v>98</v>
      </c>
      <c r="E401" t="s">
        <v>89</v>
      </c>
      <c r="F401" t="s">
        <v>20</v>
      </c>
      <c r="G401" t="s">
        <v>49</v>
      </c>
      <c r="H401" t="s">
        <v>40</v>
      </c>
      <c r="I401" t="s">
        <v>41</v>
      </c>
      <c r="J401" t="s">
        <v>42</v>
      </c>
      <c r="K401" t="s">
        <v>81</v>
      </c>
      <c r="L401">
        <v>3</v>
      </c>
      <c r="M401">
        <v>2160</v>
      </c>
      <c r="N401">
        <v>20</v>
      </c>
      <c r="O401">
        <v>383.7</v>
      </c>
    </row>
    <row r="402" spans="1:15" x14ac:dyDescent="0.3">
      <c r="A402" t="s">
        <v>805</v>
      </c>
      <c r="B402" t="s">
        <v>300</v>
      </c>
      <c r="C402" t="s">
        <v>112</v>
      </c>
      <c r="D402" t="s">
        <v>80</v>
      </c>
      <c r="E402" t="s">
        <v>89</v>
      </c>
      <c r="F402" t="s">
        <v>20</v>
      </c>
      <c r="G402" t="s">
        <v>49</v>
      </c>
      <c r="H402" t="s">
        <v>59</v>
      </c>
      <c r="I402" t="s">
        <v>93</v>
      </c>
      <c r="J402" t="s">
        <v>94</v>
      </c>
      <c r="K402" t="s">
        <v>43</v>
      </c>
      <c r="L402">
        <v>3</v>
      </c>
      <c r="M402">
        <v>2160</v>
      </c>
      <c r="N402">
        <v>20</v>
      </c>
      <c r="O402">
        <v>451.2</v>
      </c>
    </row>
    <row r="403" spans="1:15" x14ac:dyDescent="0.3">
      <c r="A403" t="s">
        <v>806</v>
      </c>
      <c r="B403" t="s">
        <v>272</v>
      </c>
      <c r="C403" t="s">
        <v>466</v>
      </c>
      <c r="D403" t="s">
        <v>39</v>
      </c>
      <c r="E403" t="s">
        <v>30</v>
      </c>
      <c r="F403" t="s">
        <v>31</v>
      </c>
      <c r="G403" t="s">
        <v>32</v>
      </c>
      <c r="H403" t="s">
        <v>33</v>
      </c>
      <c r="I403" t="s">
        <v>34</v>
      </c>
      <c r="J403" t="s">
        <v>35</v>
      </c>
      <c r="K403" t="s">
        <v>25</v>
      </c>
      <c r="L403">
        <v>5</v>
      </c>
      <c r="M403">
        <v>27625</v>
      </c>
      <c r="N403">
        <v>15</v>
      </c>
      <c r="O403">
        <v>5010.4799999999996</v>
      </c>
    </row>
    <row r="404" spans="1:15" x14ac:dyDescent="0.3">
      <c r="A404" t="s">
        <v>807</v>
      </c>
      <c r="B404" t="s">
        <v>300</v>
      </c>
      <c r="C404" t="s">
        <v>769</v>
      </c>
      <c r="D404" t="s">
        <v>47</v>
      </c>
      <c r="E404" t="s">
        <v>30</v>
      </c>
      <c r="F404" t="s">
        <v>31</v>
      </c>
      <c r="G404" t="s">
        <v>32</v>
      </c>
      <c r="H404" t="s">
        <v>22</v>
      </c>
      <c r="I404" t="s">
        <v>23</v>
      </c>
      <c r="J404" t="s">
        <v>24</v>
      </c>
      <c r="K404" t="s">
        <v>81</v>
      </c>
      <c r="L404">
        <v>5</v>
      </c>
      <c r="M404">
        <v>27625</v>
      </c>
      <c r="N404">
        <v>15</v>
      </c>
      <c r="O404">
        <v>3993.02</v>
      </c>
    </row>
    <row r="405" spans="1:15" x14ac:dyDescent="0.3">
      <c r="A405" t="s">
        <v>808</v>
      </c>
      <c r="B405" t="s">
        <v>493</v>
      </c>
      <c r="C405" t="s">
        <v>125</v>
      </c>
      <c r="D405" t="s">
        <v>85</v>
      </c>
      <c r="E405" t="s">
        <v>119</v>
      </c>
      <c r="F405" t="s">
        <v>31</v>
      </c>
      <c r="G405" t="s">
        <v>120</v>
      </c>
      <c r="H405" t="s">
        <v>40</v>
      </c>
      <c r="I405" t="s">
        <v>50</v>
      </c>
      <c r="J405" t="s">
        <v>51</v>
      </c>
      <c r="K405" t="s">
        <v>25</v>
      </c>
      <c r="L405">
        <v>2</v>
      </c>
      <c r="M405">
        <v>13600</v>
      </c>
      <c r="N405">
        <v>20</v>
      </c>
      <c r="O405">
        <v>2415.08</v>
      </c>
    </row>
    <row r="406" spans="1:15" x14ac:dyDescent="0.3">
      <c r="A406" t="s">
        <v>809</v>
      </c>
      <c r="B406" t="s">
        <v>331</v>
      </c>
      <c r="C406" t="s">
        <v>53</v>
      </c>
      <c r="D406" t="s">
        <v>29</v>
      </c>
      <c r="E406" t="s">
        <v>130</v>
      </c>
      <c r="F406" t="s">
        <v>131</v>
      </c>
      <c r="G406" t="s">
        <v>132</v>
      </c>
      <c r="H406" t="s">
        <v>22</v>
      </c>
      <c r="I406" t="s">
        <v>155</v>
      </c>
      <c r="J406" t="s">
        <v>156</v>
      </c>
      <c r="K406" t="s">
        <v>62</v>
      </c>
      <c r="L406">
        <v>2</v>
      </c>
      <c r="M406">
        <v>855</v>
      </c>
      <c r="N406">
        <v>5</v>
      </c>
      <c r="O406">
        <v>151.22999999999999</v>
      </c>
    </row>
    <row r="407" spans="1:15" x14ac:dyDescent="0.3">
      <c r="A407" t="s">
        <v>810</v>
      </c>
      <c r="B407" t="s">
        <v>421</v>
      </c>
      <c r="C407" t="s">
        <v>433</v>
      </c>
      <c r="D407" t="s">
        <v>55</v>
      </c>
      <c r="E407" t="s">
        <v>30</v>
      </c>
      <c r="F407" t="s">
        <v>31</v>
      </c>
      <c r="G407" t="s">
        <v>32</v>
      </c>
      <c r="H407" t="s">
        <v>22</v>
      </c>
      <c r="I407" t="s">
        <v>23</v>
      </c>
      <c r="J407" t="s">
        <v>24</v>
      </c>
      <c r="K407" t="s">
        <v>43</v>
      </c>
      <c r="L407">
        <v>2</v>
      </c>
      <c r="M407">
        <v>12350</v>
      </c>
      <c r="N407">
        <v>5</v>
      </c>
      <c r="O407">
        <v>1627.97</v>
      </c>
    </row>
    <row r="408" spans="1:15" x14ac:dyDescent="0.3">
      <c r="A408" t="s">
        <v>811</v>
      </c>
      <c r="B408" t="s">
        <v>812</v>
      </c>
      <c r="C408" t="s">
        <v>813</v>
      </c>
      <c r="D408" t="s">
        <v>29</v>
      </c>
      <c r="E408" t="s">
        <v>130</v>
      </c>
      <c r="F408" t="s">
        <v>131</v>
      </c>
      <c r="G408" t="s">
        <v>132</v>
      </c>
      <c r="H408" t="s">
        <v>40</v>
      </c>
      <c r="I408" t="s">
        <v>50</v>
      </c>
      <c r="J408" t="s">
        <v>51</v>
      </c>
      <c r="K408" t="s">
        <v>62</v>
      </c>
      <c r="L408">
        <v>3</v>
      </c>
      <c r="M408">
        <v>1215</v>
      </c>
      <c r="N408">
        <v>10</v>
      </c>
      <c r="O408">
        <v>205.05</v>
      </c>
    </row>
    <row r="409" spans="1:15" x14ac:dyDescent="0.3">
      <c r="A409" t="s">
        <v>814</v>
      </c>
      <c r="B409" t="s">
        <v>461</v>
      </c>
      <c r="C409" t="s">
        <v>433</v>
      </c>
      <c r="D409" t="s">
        <v>85</v>
      </c>
      <c r="E409" t="s">
        <v>113</v>
      </c>
      <c r="F409" t="s">
        <v>114</v>
      </c>
      <c r="G409" t="s">
        <v>115</v>
      </c>
      <c r="H409" t="s">
        <v>40</v>
      </c>
      <c r="I409" t="s">
        <v>41</v>
      </c>
      <c r="J409" t="s">
        <v>42</v>
      </c>
      <c r="K409" t="s">
        <v>43</v>
      </c>
      <c r="L409">
        <v>5</v>
      </c>
      <c r="M409">
        <v>7650</v>
      </c>
      <c r="N409">
        <v>15</v>
      </c>
      <c r="O409">
        <v>914.03</v>
      </c>
    </row>
    <row r="410" spans="1:15" x14ac:dyDescent="0.3">
      <c r="A410" t="s">
        <v>815</v>
      </c>
      <c r="B410" t="s">
        <v>471</v>
      </c>
      <c r="C410" t="s">
        <v>159</v>
      </c>
      <c r="D410" t="s">
        <v>98</v>
      </c>
      <c r="E410" t="s">
        <v>106</v>
      </c>
      <c r="F410" t="s">
        <v>20</v>
      </c>
      <c r="G410" t="s">
        <v>49</v>
      </c>
      <c r="H410" t="s">
        <v>33</v>
      </c>
      <c r="I410" t="s">
        <v>34</v>
      </c>
      <c r="J410" t="s">
        <v>35</v>
      </c>
      <c r="K410" t="s">
        <v>81</v>
      </c>
      <c r="L410">
        <v>4</v>
      </c>
      <c r="M410">
        <v>7920</v>
      </c>
      <c r="N410">
        <v>10</v>
      </c>
      <c r="O410">
        <v>834.08</v>
      </c>
    </row>
    <row r="411" spans="1:15" x14ac:dyDescent="0.3">
      <c r="A411" t="s">
        <v>816</v>
      </c>
      <c r="B411" t="s">
        <v>280</v>
      </c>
      <c r="C411" t="s">
        <v>281</v>
      </c>
      <c r="D411" t="s">
        <v>47</v>
      </c>
      <c r="E411" t="s">
        <v>119</v>
      </c>
      <c r="F411" t="s">
        <v>31</v>
      </c>
      <c r="G411" t="s">
        <v>120</v>
      </c>
      <c r="H411" t="s">
        <v>22</v>
      </c>
      <c r="I411" t="s">
        <v>155</v>
      </c>
      <c r="J411" t="s">
        <v>156</v>
      </c>
      <c r="K411" t="s">
        <v>25</v>
      </c>
      <c r="L411">
        <v>4</v>
      </c>
      <c r="M411">
        <v>32300</v>
      </c>
      <c r="N411">
        <v>5</v>
      </c>
      <c r="O411">
        <v>3201.76</v>
      </c>
    </row>
    <row r="412" spans="1:15" x14ac:dyDescent="0.3">
      <c r="A412" t="s">
        <v>817</v>
      </c>
      <c r="B412" t="s">
        <v>600</v>
      </c>
      <c r="C412" t="s">
        <v>122</v>
      </c>
      <c r="D412" t="s">
        <v>80</v>
      </c>
      <c r="E412" t="s">
        <v>89</v>
      </c>
      <c r="F412" t="s">
        <v>20</v>
      </c>
      <c r="G412" t="s">
        <v>49</v>
      </c>
      <c r="H412" t="s">
        <v>59</v>
      </c>
      <c r="I412" t="s">
        <v>60</v>
      </c>
      <c r="J412" t="s">
        <v>61</v>
      </c>
      <c r="K412" t="s">
        <v>81</v>
      </c>
      <c r="L412">
        <v>5</v>
      </c>
      <c r="M412">
        <v>3600</v>
      </c>
      <c r="N412">
        <v>20</v>
      </c>
      <c r="O412">
        <v>574.28</v>
      </c>
    </row>
    <row r="413" spans="1:15" x14ac:dyDescent="0.3">
      <c r="A413" t="s">
        <v>818</v>
      </c>
      <c r="B413" t="s">
        <v>557</v>
      </c>
      <c r="C413" t="s">
        <v>766</v>
      </c>
      <c r="D413" t="s">
        <v>18</v>
      </c>
      <c r="E413" t="s">
        <v>56</v>
      </c>
      <c r="F413" t="s">
        <v>57</v>
      </c>
      <c r="G413" t="s">
        <v>58</v>
      </c>
      <c r="H413" t="s">
        <v>40</v>
      </c>
      <c r="I413" t="s">
        <v>41</v>
      </c>
      <c r="J413" t="s">
        <v>42</v>
      </c>
      <c r="K413" t="s">
        <v>81</v>
      </c>
      <c r="L413">
        <v>4</v>
      </c>
      <c r="M413">
        <v>1190</v>
      </c>
      <c r="N413">
        <v>15</v>
      </c>
      <c r="O413">
        <v>249.38</v>
      </c>
    </row>
    <row r="414" spans="1:15" x14ac:dyDescent="0.3">
      <c r="A414" t="s">
        <v>819</v>
      </c>
      <c r="B414" t="s">
        <v>198</v>
      </c>
      <c r="C414" t="s">
        <v>191</v>
      </c>
      <c r="D414" t="s">
        <v>55</v>
      </c>
      <c r="E414" t="s">
        <v>119</v>
      </c>
      <c r="F414" t="s">
        <v>31</v>
      </c>
      <c r="G414" t="s">
        <v>120</v>
      </c>
      <c r="H414" t="s">
        <v>40</v>
      </c>
      <c r="I414" t="s">
        <v>50</v>
      </c>
      <c r="J414" t="s">
        <v>51</v>
      </c>
      <c r="K414" t="s">
        <v>81</v>
      </c>
      <c r="L414">
        <v>3</v>
      </c>
      <c r="M414">
        <v>24225</v>
      </c>
      <c r="N414">
        <v>5</v>
      </c>
      <c r="O414">
        <v>3309.05</v>
      </c>
    </row>
    <row r="415" spans="1:15" x14ac:dyDescent="0.3">
      <c r="A415" t="s">
        <v>820</v>
      </c>
      <c r="B415" t="s">
        <v>821</v>
      </c>
      <c r="C415" t="s">
        <v>435</v>
      </c>
      <c r="D415" t="s">
        <v>98</v>
      </c>
      <c r="E415" t="s">
        <v>30</v>
      </c>
      <c r="F415" t="s">
        <v>31</v>
      </c>
      <c r="G415" t="s">
        <v>32</v>
      </c>
      <c r="H415" t="s">
        <v>59</v>
      </c>
      <c r="I415" t="s">
        <v>93</v>
      </c>
      <c r="J415" t="s">
        <v>94</v>
      </c>
      <c r="K415" t="s">
        <v>62</v>
      </c>
      <c r="L415">
        <v>5</v>
      </c>
      <c r="M415">
        <v>32500</v>
      </c>
      <c r="N415">
        <v>0</v>
      </c>
      <c r="O415">
        <v>6039.2</v>
      </c>
    </row>
    <row r="416" spans="1:15" x14ac:dyDescent="0.3">
      <c r="A416" t="s">
        <v>822</v>
      </c>
      <c r="B416" t="s">
        <v>734</v>
      </c>
      <c r="C416" t="s">
        <v>171</v>
      </c>
      <c r="D416" t="s">
        <v>39</v>
      </c>
      <c r="E416" t="s">
        <v>119</v>
      </c>
      <c r="F416" t="s">
        <v>31</v>
      </c>
      <c r="G416" t="s">
        <v>120</v>
      </c>
      <c r="H416" t="s">
        <v>33</v>
      </c>
      <c r="I416" t="s">
        <v>68</v>
      </c>
      <c r="J416" t="s">
        <v>69</v>
      </c>
      <c r="K416" t="s">
        <v>62</v>
      </c>
      <c r="L416">
        <v>2</v>
      </c>
      <c r="M416">
        <v>14450</v>
      </c>
      <c r="N416">
        <v>15</v>
      </c>
      <c r="O416">
        <v>1305.43</v>
      </c>
    </row>
    <row r="417" spans="1:15" x14ac:dyDescent="0.3">
      <c r="A417" t="s">
        <v>823</v>
      </c>
      <c r="B417" t="s">
        <v>145</v>
      </c>
      <c r="C417" t="s">
        <v>765</v>
      </c>
      <c r="D417" t="s">
        <v>18</v>
      </c>
      <c r="E417" t="s">
        <v>113</v>
      </c>
      <c r="F417" t="s">
        <v>114</v>
      </c>
      <c r="G417" t="s">
        <v>115</v>
      </c>
      <c r="H417" t="s">
        <v>22</v>
      </c>
      <c r="I417" t="s">
        <v>155</v>
      </c>
      <c r="J417" t="s">
        <v>156</v>
      </c>
      <c r="K417" t="s">
        <v>81</v>
      </c>
      <c r="L417">
        <v>4</v>
      </c>
      <c r="M417">
        <v>7200</v>
      </c>
      <c r="N417">
        <v>0</v>
      </c>
      <c r="O417">
        <v>764.17</v>
      </c>
    </row>
    <row r="418" spans="1:15" x14ac:dyDescent="0.3">
      <c r="A418" t="s">
        <v>824</v>
      </c>
      <c r="B418" t="s">
        <v>450</v>
      </c>
      <c r="C418" t="s">
        <v>424</v>
      </c>
      <c r="D418" t="s">
        <v>39</v>
      </c>
      <c r="E418" t="s">
        <v>56</v>
      </c>
      <c r="F418" t="s">
        <v>57</v>
      </c>
      <c r="G418" t="s">
        <v>58</v>
      </c>
      <c r="H418" t="s">
        <v>22</v>
      </c>
      <c r="I418" t="s">
        <v>155</v>
      </c>
      <c r="J418" t="s">
        <v>156</v>
      </c>
      <c r="K418" t="s">
        <v>81</v>
      </c>
      <c r="L418">
        <v>3</v>
      </c>
      <c r="M418">
        <v>892.5</v>
      </c>
      <c r="N418">
        <v>15</v>
      </c>
      <c r="O418">
        <v>94.85</v>
      </c>
    </row>
    <row r="419" spans="1:15" x14ac:dyDescent="0.3">
      <c r="A419" t="s">
        <v>825</v>
      </c>
      <c r="B419" t="s">
        <v>291</v>
      </c>
      <c r="C419" t="s">
        <v>295</v>
      </c>
      <c r="D419" t="s">
        <v>39</v>
      </c>
      <c r="E419" t="s">
        <v>113</v>
      </c>
      <c r="F419" t="s">
        <v>114</v>
      </c>
      <c r="G419" t="s">
        <v>115</v>
      </c>
      <c r="H419" t="s">
        <v>40</v>
      </c>
      <c r="I419" t="s">
        <v>50</v>
      </c>
      <c r="J419" t="s">
        <v>51</v>
      </c>
      <c r="K419" t="s">
        <v>81</v>
      </c>
      <c r="L419">
        <v>2</v>
      </c>
      <c r="M419">
        <v>3600</v>
      </c>
      <c r="N419">
        <v>0</v>
      </c>
      <c r="O419">
        <v>312.07</v>
      </c>
    </row>
    <row r="420" spans="1:15" x14ac:dyDescent="0.3">
      <c r="A420" t="s">
        <v>826</v>
      </c>
      <c r="B420" t="s">
        <v>270</v>
      </c>
      <c r="C420" t="s">
        <v>123</v>
      </c>
      <c r="D420" t="s">
        <v>85</v>
      </c>
      <c r="E420" t="s">
        <v>30</v>
      </c>
      <c r="F420" t="s">
        <v>31</v>
      </c>
      <c r="G420" t="s">
        <v>32</v>
      </c>
      <c r="H420" t="s">
        <v>33</v>
      </c>
      <c r="I420" t="s">
        <v>68</v>
      </c>
      <c r="J420" t="s">
        <v>133</v>
      </c>
      <c r="K420" t="s">
        <v>62</v>
      </c>
      <c r="L420">
        <v>5</v>
      </c>
      <c r="M420">
        <v>26000</v>
      </c>
      <c r="N420">
        <v>20</v>
      </c>
      <c r="O420">
        <v>3437.26</v>
      </c>
    </row>
    <row r="421" spans="1:15" x14ac:dyDescent="0.3">
      <c r="A421" t="s">
        <v>827</v>
      </c>
      <c r="B421" t="s">
        <v>53</v>
      </c>
      <c r="C421" t="s">
        <v>408</v>
      </c>
      <c r="D421" t="s">
        <v>98</v>
      </c>
      <c r="E421" t="s">
        <v>19</v>
      </c>
      <c r="F421" t="s">
        <v>20</v>
      </c>
      <c r="G421" t="s">
        <v>21</v>
      </c>
      <c r="H421" t="s">
        <v>40</v>
      </c>
      <c r="I421" t="s">
        <v>50</v>
      </c>
      <c r="J421" t="s">
        <v>51</v>
      </c>
      <c r="K421" t="s">
        <v>62</v>
      </c>
      <c r="L421">
        <v>2</v>
      </c>
      <c r="M421">
        <v>104500</v>
      </c>
      <c r="N421">
        <v>5</v>
      </c>
      <c r="O421">
        <v>11529.1</v>
      </c>
    </row>
    <row r="422" spans="1:15" x14ac:dyDescent="0.3">
      <c r="A422" t="s">
        <v>828</v>
      </c>
      <c r="B422" t="s">
        <v>761</v>
      </c>
      <c r="C422" t="s">
        <v>452</v>
      </c>
      <c r="D422" t="s">
        <v>73</v>
      </c>
      <c r="E422" t="s">
        <v>19</v>
      </c>
      <c r="F422" t="s">
        <v>20</v>
      </c>
      <c r="G422" t="s">
        <v>21</v>
      </c>
      <c r="H422" t="s">
        <v>33</v>
      </c>
      <c r="I422" t="s">
        <v>68</v>
      </c>
      <c r="J422" t="s">
        <v>69</v>
      </c>
      <c r="K422" t="s">
        <v>43</v>
      </c>
      <c r="L422">
        <v>3</v>
      </c>
      <c r="M422">
        <v>156750</v>
      </c>
      <c r="N422">
        <v>5</v>
      </c>
      <c r="O422">
        <v>23703.58</v>
      </c>
    </row>
    <row r="423" spans="1:15" x14ac:dyDescent="0.3">
      <c r="A423" t="s">
        <v>829</v>
      </c>
      <c r="B423" t="s">
        <v>270</v>
      </c>
      <c r="C423" t="s">
        <v>123</v>
      </c>
      <c r="D423" t="s">
        <v>55</v>
      </c>
      <c r="E423" t="s">
        <v>119</v>
      </c>
      <c r="F423" t="s">
        <v>31</v>
      </c>
      <c r="G423" t="s">
        <v>120</v>
      </c>
      <c r="H423" t="s">
        <v>40</v>
      </c>
      <c r="I423" t="s">
        <v>41</v>
      </c>
      <c r="J423" t="s">
        <v>42</v>
      </c>
      <c r="K423" t="s">
        <v>43</v>
      </c>
      <c r="L423">
        <v>1</v>
      </c>
      <c r="M423">
        <v>7225</v>
      </c>
      <c r="N423">
        <v>15</v>
      </c>
      <c r="O423">
        <v>1382.18</v>
      </c>
    </row>
    <row r="424" spans="1:15" x14ac:dyDescent="0.3">
      <c r="A424" t="s">
        <v>830</v>
      </c>
      <c r="B424" t="s">
        <v>831</v>
      </c>
      <c r="C424" t="s">
        <v>832</v>
      </c>
      <c r="D424" t="s">
        <v>73</v>
      </c>
      <c r="E424" t="s">
        <v>113</v>
      </c>
      <c r="F424" t="s">
        <v>114</v>
      </c>
      <c r="G424" t="s">
        <v>115</v>
      </c>
      <c r="H424" t="s">
        <v>59</v>
      </c>
      <c r="I424" t="s">
        <v>60</v>
      </c>
      <c r="J424" t="s">
        <v>61</v>
      </c>
      <c r="K424" t="s">
        <v>25</v>
      </c>
      <c r="L424">
        <v>2</v>
      </c>
      <c r="M424">
        <v>3600</v>
      </c>
      <c r="N424">
        <v>0</v>
      </c>
      <c r="O424">
        <v>736.02</v>
      </c>
    </row>
    <row r="425" spans="1:15" x14ac:dyDescent="0.3">
      <c r="A425" t="s">
        <v>833</v>
      </c>
      <c r="B425" t="s">
        <v>340</v>
      </c>
      <c r="C425" t="s">
        <v>552</v>
      </c>
      <c r="D425" t="s">
        <v>18</v>
      </c>
      <c r="E425" t="s">
        <v>89</v>
      </c>
      <c r="F425" t="s">
        <v>20</v>
      </c>
      <c r="G425" t="s">
        <v>49</v>
      </c>
      <c r="H425" t="s">
        <v>22</v>
      </c>
      <c r="I425" t="s">
        <v>155</v>
      </c>
      <c r="J425" t="s">
        <v>156</v>
      </c>
      <c r="K425" t="s">
        <v>43</v>
      </c>
      <c r="L425">
        <v>1</v>
      </c>
      <c r="M425">
        <v>720</v>
      </c>
      <c r="N425">
        <v>20</v>
      </c>
      <c r="O425">
        <v>121.66</v>
      </c>
    </row>
    <row r="426" spans="1:15" x14ac:dyDescent="0.3">
      <c r="A426" t="s">
        <v>834</v>
      </c>
      <c r="B426" t="s">
        <v>835</v>
      </c>
      <c r="C426" t="s">
        <v>229</v>
      </c>
      <c r="D426" t="s">
        <v>73</v>
      </c>
      <c r="E426" t="s">
        <v>19</v>
      </c>
      <c r="F426" t="s">
        <v>20</v>
      </c>
      <c r="G426" t="s">
        <v>21</v>
      </c>
      <c r="H426" t="s">
        <v>40</v>
      </c>
      <c r="I426" t="s">
        <v>41</v>
      </c>
      <c r="J426" t="s">
        <v>42</v>
      </c>
      <c r="K426" t="s">
        <v>43</v>
      </c>
      <c r="L426">
        <v>4</v>
      </c>
      <c r="M426">
        <v>176000</v>
      </c>
      <c r="N426">
        <v>20</v>
      </c>
      <c r="O426">
        <v>28170.28</v>
      </c>
    </row>
    <row r="427" spans="1:15" x14ac:dyDescent="0.3">
      <c r="A427" t="s">
        <v>836</v>
      </c>
      <c r="B427" t="s">
        <v>424</v>
      </c>
      <c r="C427" t="s">
        <v>837</v>
      </c>
      <c r="D427" t="s">
        <v>55</v>
      </c>
      <c r="E427" t="s">
        <v>56</v>
      </c>
      <c r="F427" t="s">
        <v>57</v>
      </c>
      <c r="G427" t="s">
        <v>58</v>
      </c>
      <c r="H427" t="s">
        <v>40</v>
      </c>
      <c r="I427" t="s">
        <v>50</v>
      </c>
      <c r="J427" t="s">
        <v>51</v>
      </c>
      <c r="K427" t="s">
        <v>43</v>
      </c>
      <c r="L427">
        <v>5</v>
      </c>
      <c r="M427">
        <v>1487.5</v>
      </c>
      <c r="N427">
        <v>15</v>
      </c>
      <c r="O427">
        <v>170.33</v>
      </c>
    </row>
    <row r="428" spans="1:15" x14ac:dyDescent="0.3">
      <c r="A428" t="s">
        <v>838</v>
      </c>
      <c r="B428" t="s">
        <v>532</v>
      </c>
      <c r="C428" t="s">
        <v>508</v>
      </c>
      <c r="D428" t="s">
        <v>85</v>
      </c>
      <c r="E428" t="s">
        <v>19</v>
      </c>
      <c r="F428" t="s">
        <v>20</v>
      </c>
      <c r="G428" t="s">
        <v>21</v>
      </c>
      <c r="H428" t="s">
        <v>22</v>
      </c>
      <c r="I428" t="s">
        <v>23</v>
      </c>
      <c r="J428" t="s">
        <v>24</v>
      </c>
      <c r="K428" t="s">
        <v>25</v>
      </c>
      <c r="L428">
        <v>3</v>
      </c>
      <c r="M428">
        <v>132000</v>
      </c>
      <c r="N428">
        <v>20</v>
      </c>
      <c r="O428">
        <v>23303.49</v>
      </c>
    </row>
    <row r="429" spans="1:15" x14ac:dyDescent="0.3">
      <c r="A429" t="s">
        <v>839</v>
      </c>
      <c r="B429" t="s">
        <v>176</v>
      </c>
      <c r="C429" t="s">
        <v>254</v>
      </c>
      <c r="D429" t="s">
        <v>18</v>
      </c>
      <c r="E429" t="s">
        <v>130</v>
      </c>
      <c r="F429" t="s">
        <v>131</v>
      </c>
      <c r="G429" t="s">
        <v>132</v>
      </c>
      <c r="H429" t="s">
        <v>40</v>
      </c>
      <c r="I429" t="s">
        <v>50</v>
      </c>
      <c r="J429" t="s">
        <v>51</v>
      </c>
      <c r="K429" t="s">
        <v>25</v>
      </c>
      <c r="L429">
        <v>5</v>
      </c>
      <c r="M429">
        <v>2250</v>
      </c>
      <c r="N429">
        <v>0</v>
      </c>
      <c r="O429">
        <v>390.32</v>
      </c>
    </row>
    <row r="430" spans="1:15" x14ac:dyDescent="0.3">
      <c r="A430" t="s">
        <v>840</v>
      </c>
      <c r="B430" t="s">
        <v>377</v>
      </c>
      <c r="C430" t="s">
        <v>841</v>
      </c>
      <c r="D430" t="s">
        <v>85</v>
      </c>
      <c r="E430" t="s">
        <v>106</v>
      </c>
      <c r="F430" t="s">
        <v>20</v>
      </c>
      <c r="G430" t="s">
        <v>49</v>
      </c>
      <c r="H430" t="s">
        <v>40</v>
      </c>
      <c r="I430" t="s">
        <v>41</v>
      </c>
      <c r="J430" t="s">
        <v>42</v>
      </c>
      <c r="K430" t="s">
        <v>43</v>
      </c>
      <c r="L430">
        <v>2</v>
      </c>
      <c r="M430">
        <v>3960</v>
      </c>
      <c r="N430">
        <v>10</v>
      </c>
      <c r="O430">
        <v>427.49</v>
      </c>
    </row>
    <row r="431" spans="1:15" x14ac:dyDescent="0.3">
      <c r="A431" t="s">
        <v>842</v>
      </c>
      <c r="B431" t="s">
        <v>577</v>
      </c>
      <c r="C431" t="s">
        <v>267</v>
      </c>
      <c r="D431" t="s">
        <v>18</v>
      </c>
      <c r="E431" t="s">
        <v>19</v>
      </c>
      <c r="F431" t="s">
        <v>20</v>
      </c>
      <c r="G431" t="s">
        <v>21</v>
      </c>
      <c r="H431" t="s">
        <v>59</v>
      </c>
      <c r="I431" t="s">
        <v>60</v>
      </c>
      <c r="J431" t="s">
        <v>61</v>
      </c>
      <c r="K431" t="s">
        <v>25</v>
      </c>
      <c r="L431">
        <v>1</v>
      </c>
      <c r="M431">
        <v>44000</v>
      </c>
      <c r="N431">
        <v>20</v>
      </c>
      <c r="O431">
        <v>9150.15</v>
      </c>
    </row>
    <row r="432" spans="1:15" x14ac:dyDescent="0.3">
      <c r="A432" t="s">
        <v>843</v>
      </c>
      <c r="B432" t="s">
        <v>54</v>
      </c>
      <c r="C432" t="s">
        <v>450</v>
      </c>
      <c r="D432" t="s">
        <v>18</v>
      </c>
      <c r="E432" t="s">
        <v>113</v>
      </c>
      <c r="F432" t="s">
        <v>114</v>
      </c>
      <c r="G432" t="s">
        <v>115</v>
      </c>
      <c r="H432" t="s">
        <v>40</v>
      </c>
      <c r="I432" t="s">
        <v>50</v>
      </c>
      <c r="J432" t="s">
        <v>51</v>
      </c>
      <c r="K432" t="s">
        <v>43</v>
      </c>
      <c r="L432">
        <v>4</v>
      </c>
      <c r="M432">
        <v>5760</v>
      </c>
      <c r="N432">
        <v>20</v>
      </c>
      <c r="O432">
        <v>1248.26</v>
      </c>
    </row>
    <row r="433" spans="1:15" x14ac:dyDescent="0.3">
      <c r="A433" t="s">
        <v>844</v>
      </c>
      <c r="B433" t="s">
        <v>126</v>
      </c>
      <c r="C433" t="s">
        <v>691</v>
      </c>
      <c r="D433" t="s">
        <v>102</v>
      </c>
      <c r="E433" t="s">
        <v>130</v>
      </c>
      <c r="F433" t="s">
        <v>131</v>
      </c>
      <c r="G433" t="s">
        <v>132</v>
      </c>
      <c r="H433" t="s">
        <v>59</v>
      </c>
      <c r="I433" t="s">
        <v>93</v>
      </c>
      <c r="J433" t="s">
        <v>94</v>
      </c>
      <c r="K433" t="s">
        <v>43</v>
      </c>
      <c r="L433">
        <v>5</v>
      </c>
      <c r="M433">
        <v>1800</v>
      </c>
      <c r="N433">
        <v>20</v>
      </c>
      <c r="O433">
        <v>292.14</v>
      </c>
    </row>
    <row r="434" spans="1:15" x14ac:dyDescent="0.3">
      <c r="A434" t="s">
        <v>845</v>
      </c>
      <c r="B434" t="s">
        <v>288</v>
      </c>
      <c r="C434" t="s">
        <v>83</v>
      </c>
      <c r="D434" t="s">
        <v>85</v>
      </c>
      <c r="E434" t="s">
        <v>66</v>
      </c>
      <c r="F434" t="s">
        <v>20</v>
      </c>
      <c r="G434" t="s">
        <v>67</v>
      </c>
      <c r="H434" t="s">
        <v>40</v>
      </c>
      <c r="I434" t="s">
        <v>41</v>
      </c>
      <c r="J434" t="s">
        <v>42</v>
      </c>
      <c r="K434" t="s">
        <v>81</v>
      </c>
      <c r="L434">
        <v>4</v>
      </c>
      <c r="M434">
        <v>40800</v>
      </c>
      <c r="N434">
        <v>15</v>
      </c>
      <c r="O434">
        <v>8555.9500000000007</v>
      </c>
    </row>
    <row r="435" spans="1:15" x14ac:dyDescent="0.3">
      <c r="A435" t="s">
        <v>846</v>
      </c>
      <c r="B435" t="s">
        <v>148</v>
      </c>
      <c r="C435" t="s">
        <v>331</v>
      </c>
      <c r="D435" t="s">
        <v>18</v>
      </c>
      <c r="E435" t="s">
        <v>56</v>
      </c>
      <c r="F435" t="s">
        <v>57</v>
      </c>
      <c r="G435" t="s">
        <v>58</v>
      </c>
      <c r="H435" t="s">
        <v>33</v>
      </c>
      <c r="I435" t="s">
        <v>34</v>
      </c>
      <c r="J435" t="s">
        <v>35</v>
      </c>
      <c r="K435" t="s">
        <v>81</v>
      </c>
      <c r="L435">
        <v>2</v>
      </c>
      <c r="M435">
        <v>630</v>
      </c>
      <c r="N435">
        <v>10</v>
      </c>
      <c r="O435">
        <v>53.14</v>
      </c>
    </row>
    <row r="436" spans="1:15" x14ac:dyDescent="0.3">
      <c r="A436" t="s">
        <v>847</v>
      </c>
      <c r="B436" t="s">
        <v>848</v>
      </c>
      <c r="C436" t="s">
        <v>347</v>
      </c>
      <c r="D436" t="s">
        <v>98</v>
      </c>
      <c r="E436" t="s">
        <v>106</v>
      </c>
      <c r="F436" t="s">
        <v>20</v>
      </c>
      <c r="G436" t="s">
        <v>49</v>
      </c>
      <c r="H436" t="s">
        <v>40</v>
      </c>
      <c r="I436" t="s">
        <v>50</v>
      </c>
      <c r="J436" t="s">
        <v>51</v>
      </c>
      <c r="K436" t="s">
        <v>25</v>
      </c>
      <c r="L436">
        <v>2</v>
      </c>
      <c r="M436">
        <v>4400</v>
      </c>
      <c r="N436">
        <v>0</v>
      </c>
      <c r="O436">
        <v>739.56</v>
      </c>
    </row>
    <row r="437" spans="1:15" x14ac:dyDescent="0.3">
      <c r="A437" t="s">
        <v>849</v>
      </c>
      <c r="B437" t="s">
        <v>416</v>
      </c>
      <c r="C437" t="s">
        <v>204</v>
      </c>
      <c r="D437" t="s">
        <v>80</v>
      </c>
      <c r="E437" t="s">
        <v>113</v>
      </c>
      <c r="F437" t="s">
        <v>114</v>
      </c>
      <c r="G437" t="s">
        <v>115</v>
      </c>
      <c r="H437" t="s">
        <v>40</v>
      </c>
      <c r="I437" t="s">
        <v>41</v>
      </c>
      <c r="J437" t="s">
        <v>42</v>
      </c>
      <c r="K437" t="s">
        <v>62</v>
      </c>
      <c r="L437">
        <v>2</v>
      </c>
      <c r="M437">
        <v>3240</v>
      </c>
      <c r="N437">
        <v>10</v>
      </c>
      <c r="O437">
        <v>612.17999999999995</v>
      </c>
    </row>
    <row r="438" spans="1:15" x14ac:dyDescent="0.3">
      <c r="A438" t="s">
        <v>850</v>
      </c>
      <c r="B438" t="s">
        <v>503</v>
      </c>
      <c r="C438" t="s">
        <v>250</v>
      </c>
      <c r="D438" t="s">
        <v>80</v>
      </c>
      <c r="E438" t="s">
        <v>113</v>
      </c>
      <c r="F438" t="s">
        <v>114</v>
      </c>
      <c r="G438" t="s">
        <v>115</v>
      </c>
      <c r="H438" t="s">
        <v>22</v>
      </c>
      <c r="I438" t="s">
        <v>23</v>
      </c>
      <c r="J438" t="s">
        <v>24</v>
      </c>
      <c r="K438" t="s">
        <v>62</v>
      </c>
      <c r="L438">
        <v>3</v>
      </c>
      <c r="M438">
        <v>5130</v>
      </c>
      <c r="N438">
        <v>5</v>
      </c>
      <c r="O438">
        <v>767.61</v>
      </c>
    </row>
    <row r="439" spans="1:15" x14ac:dyDescent="0.3">
      <c r="A439" t="s">
        <v>851</v>
      </c>
      <c r="B439" t="s">
        <v>187</v>
      </c>
      <c r="C439" t="s">
        <v>352</v>
      </c>
      <c r="D439" t="s">
        <v>55</v>
      </c>
      <c r="E439" t="s">
        <v>106</v>
      </c>
      <c r="F439" t="s">
        <v>20</v>
      </c>
      <c r="G439" t="s">
        <v>49</v>
      </c>
      <c r="H439" t="s">
        <v>59</v>
      </c>
      <c r="I439" t="s">
        <v>60</v>
      </c>
      <c r="J439" t="s">
        <v>61</v>
      </c>
      <c r="K439" t="s">
        <v>43</v>
      </c>
      <c r="L439">
        <v>1</v>
      </c>
      <c r="M439">
        <v>2200</v>
      </c>
      <c r="N439">
        <v>0</v>
      </c>
      <c r="O439">
        <v>292.81</v>
      </c>
    </row>
    <row r="440" spans="1:15" x14ac:dyDescent="0.3">
      <c r="A440" t="s">
        <v>852</v>
      </c>
      <c r="B440" t="s">
        <v>619</v>
      </c>
      <c r="C440" t="s">
        <v>170</v>
      </c>
      <c r="D440" t="s">
        <v>80</v>
      </c>
      <c r="E440" t="s">
        <v>106</v>
      </c>
      <c r="F440" t="s">
        <v>20</v>
      </c>
      <c r="G440" t="s">
        <v>49</v>
      </c>
      <c r="H440" t="s">
        <v>22</v>
      </c>
      <c r="I440" t="s">
        <v>23</v>
      </c>
      <c r="J440" t="s">
        <v>24</v>
      </c>
      <c r="K440" t="s">
        <v>25</v>
      </c>
      <c r="L440">
        <v>2</v>
      </c>
      <c r="M440">
        <v>4180</v>
      </c>
      <c r="N440">
        <v>5</v>
      </c>
      <c r="O440">
        <v>866.56</v>
      </c>
    </row>
    <row r="441" spans="1:15" x14ac:dyDescent="0.3">
      <c r="A441" t="s">
        <v>853</v>
      </c>
      <c r="B441" t="s">
        <v>267</v>
      </c>
      <c r="C441" t="s">
        <v>173</v>
      </c>
      <c r="D441" t="s">
        <v>73</v>
      </c>
      <c r="E441" t="s">
        <v>130</v>
      </c>
      <c r="F441" t="s">
        <v>131</v>
      </c>
      <c r="G441" t="s">
        <v>132</v>
      </c>
      <c r="H441" t="s">
        <v>40</v>
      </c>
      <c r="I441" t="s">
        <v>50</v>
      </c>
      <c r="J441" t="s">
        <v>51</v>
      </c>
      <c r="K441" t="s">
        <v>43</v>
      </c>
      <c r="L441">
        <v>4</v>
      </c>
      <c r="M441">
        <v>1620</v>
      </c>
      <c r="N441">
        <v>10</v>
      </c>
      <c r="O441">
        <v>278.92</v>
      </c>
    </row>
    <row r="442" spans="1:15" x14ac:dyDescent="0.3">
      <c r="A442" t="s">
        <v>854</v>
      </c>
      <c r="B442" t="s">
        <v>855</v>
      </c>
      <c r="C442" t="s">
        <v>203</v>
      </c>
      <c r="D442" t="s">
        <v>18</v>
      </c>
      <c r="E442" t="s">
        <v>130</v>
      </c>
      <c r="F442" t="s">
        <v>131</v>
      </c>
      <c r="G442" t="s">
        <v>132</v>
      </c>
      <c r="H442" t="s">
        <v>22</v>
      </c>
      <c r="I442" t="s">
        <v>155</v>
      </c>
      <c r="J442" t="s">
        <v>156</v>
      </c>
      <c r="K442" t="s">
        <v>43</v>
      </c>
      <c r="L442">
        <v>5</v>
      </c>
      <c r="M442">
        <v>1800</v>
      </c>
      <c r="N442">
        <v>20</v>
      </c>
      <c r="O442">
        <v>286.33</v>
      </c>
    </row>
    <row r="443" spans="1:15" x14ac:dyDescent="0.3">
      <c r="A443" t="s">
        <v>856</v>
      </c>
      <c r="B443" t="s">
        <v>53</v>
      </c>
      <c r="C443" t="s">
        <v>408</v>
      </c>
      <c r="D443" t="s">
        <v>47</v>
      </c>
      <c r="E443" t="s">
        <v>106</v>
      </c>
      <c r="F443" t="s">
        <v>20</v>
      </c>
      <c r="G443" t="s">
        <v>49</v>
      </c>
      <c r="H443" t="s">
        <v>40</v>
      </c>
      <c r="I443" t="s">
        <v>41</v>
      </c>
      <c r="J443" t="s">
        <v>42</v>
      </c>
      <c r="K443" t="s">
        <v>62</v>
      </c>
      <c r="L443">
        <v>3</v>
      </c>
      <c r="M443">
        <v>6600</v>
      </c>
      <c r="N443">
        <v>0</v>
      </c>
      <c r="O443">
        <v>1060.96</v>
      </c>
    </row>
    <row r="444" spans="1:15" x14ac:dyDescent="0.3">
      <c r="A444" t="s">
        <v>857</v>
      </c>
      <c r="B444" t="s">
        <v>503</v>
      </c>
      <c r="C444" t="s">
        <v>858</v>
      </c>
      <c r="D444" t="s">
        <v>39</v>
      </c>
      <c r="E444" t="s">
        <v>56</v>
      </c>
      <c r="F444" t="s">
        <v>57</v>
      </c>
      <c r="G444" t="s">
        <v>58</v>
      </c>
      <c r="H444" t="s">
        <v>22</v>
      </c>
      <c r="I444" t="s">
        <v>155</v>
      </c>
      <c r="J444" t="s">
        <v>156</v>
      </c>
      <c r="K444" t="s">
        <v>25</v>
      </c>
      <c r="L444">
        <v>1</v>
      </c>
      <c r="M444">
        <v>297.5</v>
      </c>
      <c r="N444">
        <v>15</v>
      </c>
      <c r="O444">
        <v>42.43</v>
      </c>
    </row>
    <row r="445" spans="1:15" x14ac:dyDescent="0.3">
      <c r="A445" t="s">
        <v>859</v>
      </c>
      <c r="B445" t="s">
        <v>575</v>
      </c>
      <c r="C445" t="s">
        <v>368</v>
      </c>
      <c r="D445" t="s">
        <v>98</v>
      </c>
      <c r="E445" t="s">
        <v>106</v>
      </c>
      <c r="F445" t="s">
        <v>20</v>
      </c>
      <c r="G445" t="s">
        <v>49</v>
      </c>
      <c r="H445" t="s">
        <v>59</v>
      </c>
      <c r="I445" t="s">
        <v>60</v>
      </c>
      <c r="J445" t="s">
        <v>61</v>
      </c>
      <c r="K445" t="s">
        <v>81</v>
      </c>
      <c r="L445">
        <v>2</v>
      </c>
      <c r="M445">
        <v>4400</v>
      </c>
      <c r="N445">
        <v>0</v>
      </c>
      <c r="O445">
        <v>365.64</v>
      </c>
    </row>
    <row r="446" spans="1:15" x14ac:dyDescent="0.3">
      <c r="A446" t="s">
        <v>860</v>
      </c>
      <c r="B446" t="s">
        <v>297</v>
      </c>
      <c r="C446" t="s">
        <v>162</v>
      </c>
      <c r="D446" t="s">
        <v>85</v>
      </c>
      <c r="E446" t="s">
        <v>106</v>
      </c>
      <c r="F446" t="s">
        <v>20</v>
      </c>
      <c r="G446" t="s">
        <v>49</v>
      </c>
      <c r="H446" t="s">
        <v>40</v>
      </c>
      <c r="I446" t="s">
        <v>50</v>
      </c>
      <c r="J446" t="s">
        <v>51</v>
      </c>
      <c r="K446" t="s">
        <v>62</v>
      </c>
      <c r="L446">
        <v>3</v>
      </c>
      <c r="M446">
        <v>5280</v>
      </c>
      <c r="N446">
        <v>20</v>
      </c>
      <c r="O446">
        <v>837.75</v>
      </c>
    </row>
    <row r="447" spans="1:15" x14ac:dyDescent="0.3">
      <c r="A447" t="s">
        <v>861</v>
      </c>
      <c r="B447" t="s">
        <v>212</v>
      </c>
      <c r="C447" t="s">
        <v>416</v>
      </c>
      <c r="D447" t="s">
        <v>98</v>
      </c>
      <c r="E447" t="s">
        <v>48</v>
      </c>
      <c r="F447" t="s">
        <v>20</v>
      </c>
      <c r="G447" t="s">
        <v>49</v>
      </c>
      <c r="H447" t="s">
        <v>40</v>
      </c>
      <c r="I447" t="s">
        <v>50</v>
      </c>
      <c r="J447" t="s">
        <v>51</v>
      </c>
      <c r="K447" t="s">
        <v>25</v>
      </c>
      <c r="L447">
        <v>4</v>
      </c>
      <c r="M447">
        <v>5100</v>
      </c>
      <c r="N447">
        <v>15</v>
      </c>
      <c r="O447">
        <v>1045.93</v>
      </c>
    </row>
    <row r="448" spans="1:15" x14ac:dyDescent="0.3">
      <c r="A448" t="s">
        <v>862</v>
      </c>
      <c r="B448" t="s">
        <v>572</v>
      </c>
      <c r="C448" t="s">
        <v>546</v>
      </c>
      <c r="D448" t="s">
        <v>47</v>
      </c>
      <c r="E448" t="s">
        <v>106</v>
      </c>
      <c r="F448" t="s">
        <v>20</v>
      </c>
      <c r="G448" t="s">
        <v>49</v>
      </c>
      <c r="H448" t="s">
        <v>40</v>
      </c>
      <c r="I448" t="s">
        <v>41</v>
      </c>
      <c r="J448" t="s">
        <v>42</v>
      </c>
      <c r="K448" t="s">
        <v>62</v>
      </c>
      <c r="L448">
        <v>4</v>
      </c>
      <c r="M448">
        <v>8800</v>
      </c>
      <c r="N448">
        <v>0</v>
      </c>
      <c r="O448">
        <v>1857.02</v>
      </c>
    </row>
    <row r="449" spans="1:15" x14ac:dyDescent="0.3">
      <c r="A449" t="s">
        <v>863</v>
      </c>
      <c r="B449" t="s">
        <v>813</v>
      </c>
      <c r="C449" t="s">
        <v>312</v>
      </c>
      <c r="D449" t="s">
        <v>85</v>
      </c>
      <c r="E449" t="s">
        <v>66</v>
      </c>
      <c r="F449" t="s">
        <v>20</v>
      </c>
      <c r="G449" t="s">
        <v>67</v>
      </c>
      <c r="H449" t="s">
        <v>59</v>
      </c>
      <c r="I449" t="s">
        <v>60</v>
      </c>
      <c r="J449" t="s">
        <v>61</v>
      </c>
      <c r="K449" t="s">
        <v>25</v>
      </c>
      <c r="L449">
        <v>3</v>
      </c>
      <c r="M449">
        <v>36000</v>
      </c>
      <c r="N449">
        <v>0</v>
      </c>
      <c r="O449">
        <v>6514.96</v>
      </c>
    </row>
    <row r="450" spans="1:15" x14ac:dyDescent="0.3">
      <c r="A450" t="s">
        <v>864</v>
      </c>
      <c r="B450" t="s">
        <v>287</v>
      </c>
      <c r="C450" t="s">
        <v>109</v>
      </c>
      <c r="D450" t="s">
        <v>102</v>
      </c>
      <c r="E450" t="s">
        <v>48</v>
      </c>
      <c r="F450" t="s">
        <v>20</v>
      </c>
      <c r="G450" t="s">
        <v>49</v>
      </c>
      <c r="H450" t="s">
        <v>22</v>
      </c>
      <c r="I450" t="s">
        <v>23</v>
      </c>
      <c r="J450" t="s">
        <v>24</v>
      </c>
      <c r="K450" t="s">
        <v>62</v>
      </c>
      <c r="L450">
        <v>5</v>
      </c>
      <c r="M450">
        <v>7500</v>
      </c>
      <c r="N450">
        <v>0</v>
      </c>
      <c r="O450">
        <v>1649.8</v>
      </c>
    </row>
    <row r="451" spans="1:15" x14ac:dyDescent="0.3">
      <c r="A451" t="s">
        <v>865</v>
      </c>
      <c r="B451" t="s">
        <v>629</v>
      </c>
      <c r="C451" t="s">
        <v>631</v>
      </c>
      <c r="D451" t="s">
        <v>47</v>
      </c>
      <c r="E451" t="s">
        <v>89</v>
      </c>
      <c r="F451" t="s">
        <v>20</v>
      </c>
      <c r="G451" t="s">
        <v>49</v>
      </c>
      <c r="H451" t="s">
        <v>40</v>
      </c>
      <c r="I451" t="s">
        <v>50</v>
      </c>
      <c r="J451" t="s">
        <v>51</v>
      </c>
      <c r="K451" t="s">
        <v>25</v>
      </c>
      <c r="L451">
        <v>4</v>
      </c>
      <c r="M451">
        <v>2880</v>
      </c>
      <c r="N451">
        <v>20</v>
      </c>
      <c r="O451">
        <v>543.74</v>
      </c>
    </row>
    <row r="452" spans="1:15" x14ac:dyDescent="0.3">
      <c r="A452" t="s">
        <v>866</v>
      </c>
      <c r="B452" t="s">
        <v>267</v>
      </c>
      <c r="C452" t="s">
        <v>440</v>
      </c>
      <c r="D452" t="s">
        <v>55</v>
      </c>
      <c r="E452" t="s">
        <v>48</v>
      </c>
      <c r="F452" t="s">
        <v>20</v>
      </c>
      <c r="G452" t="s">
        <v>49</v>
      </c>
      <c r="H452" t="s">
        <v>59</v>
      </c>
      <c r="I452" t="s">
        <v>93</v>
      </c>
      <c r="J452" t="s">
        <v>94</v>
      </c>
      <c r="K452" t="s">
        <v>62</v>
      </c>
      <c r="L452">
        <v>3</v>
      </c>
      <c r="M452">
        <v>3600</v>
      </c>
      <c r="N452">
        <v>20</v>
      </c>
      <c r="O452">
        <v>747.32</v>
      </c>
    </row>
    <row r="453" spans="1:15" x14ac:dyDescent="0.3">
      <c r="A453" t="s">
        <v>867</v>
      </c>
      <c r="B453" t="s">
        <v>292</v>
      </c>
      <c r="C453" t="s">
        <v>868</v>
      </c>
      <c r="D453" t="s">
        <v>73</v>
      </c>
      <c r="E453" t="s">
        <v>119</v>
      </c>
      <c r="F453" t="s">
        <v>31</v>
      </c>
      <c r="G453" t="s">
        <v>120</v>
      </c>
      <c r="H453" t="s">
        <v>22</v>
      </c>
      <c r="I453" t="s">
        <v>155</v>
      </c>
      <c r="J453" t="s">
        <v>156</v>
      </c>
      <c r="K453" t="s">
        <v>81</v>
      </c>
      <c r="L453">
        <v>2</v>
      </c>
      <c r="M453">
        <v>13600</v>
      </c>
      <c r="N453">
        <v>20</v>
      </c>
      <c r="O453">
        <v>2016.12</v>
      </c>
    </row>
    <row r="454" spans="1:15" x14ac:dyDescent="0.3">
      <c r="A454" t="s">
        <v>869</v>
      </c>
      <c r="B454" t="s">
        <v>122</v>
      </c>
      <c r="C454" t="s">
        <v>586</v>
      </c>
      <c r="D454" t="s">
        <v>18</v>
      </c>
      <c r="E454" t="s">
        <v>130</v>
      </c>
      <c r="F454" t="s">
        <v>131</v>
      </c>
      <c r="G454" t="s">
        <v>132</v>
      </c>
      <c r="H454" t="s">
        <v>22</v>
      </c>
      <c r="I454" t="s">
        <v>155</v>
      </c>
      <c r="J454" t="s">
        <v>156</v>
      </c>
      <c r="K454" t="s">
        <v>62</v>
      </c>
      <c r="L454">
        <v>5</v>
      </c>
      <c r="M454">
        <v>2025</v>
      </c>
      <c r="N454">
        <v>10</v>
      </c>
      <c r="O454">
        <v>166.26</v>
      </c>
    </row>
    <row r="455" spans="1:15" x14ac:dyDescent="0.3">
      <c r="A455" t="s">
        <v>870</v>
      </c>
      <c r="B455" t="s">
        <v>813</v>
      </c>
      <c r="C455" t="s">
        <v>786</v>
      </c>
      <c r="D455" t="s">
        <v>80</v>
      </c>
      <c r="E455" t="s">
        <v>89</v>
      </c>
      <c r="F455" t="s">
        <v>20</v>
      </c>
      <c r="G455" t="s">
        <v>49</v>
      </c>
      <c r="H455" t="s">
        <v>22</v>
      </c>
      <c r="I455" t="s">
        <v>155</v>
      </c>
      <c r="J455" t="s">
        <v>156</v>
      </c>
      <c r="K455" t="s">
        <v>43</v>
      </c>
      <c r="L455">
        <v>2</v>
      </c>
      <c r="M455">
        <v>1440</v>
      </c>
      <c r="N455">
        <v>20</v>
      </c>
      <c r="O455">
        <v>253.53</v>
      </c>
    </row>
    <row r="456" spans="1:15" x14ac:dyDescent="0.3">
      <c r="A456" t="s">
        <v>871</v>
      </c>
      <c r="B456" t="s">
        <v>79</v>
      </c>
      <c r="C456" t="s">
        <v>303</v>
      </c>
      <c r="D456" t="s">
        <v>102</v>
      </c>
      <c r="E456" t="s">
        <v>48</v>
      </c>
      <c r="F456" t="s">
        <v>20</v>
      </c>
      <c r="G456" t="s">
        <v>49</v>
      </c>
      <c r="H456" t="s">
        <v>59</v>
      </c>
      <c r="I456" t="s">
        <v>93</v>
      </c>
      <c r="J456" t="s">
        <v>94</v>
      </c>
      <c r="K456" t="s">
        <v>81</v>
      </c>
      <c r="L456">
        <v>4</v>
      </c>
      <c r="M456">
        <v>5700</v>
      </c>
      <c r="N456">
        <v>5</v>
      </c>
      <c r="O456">
        <v>583.34</v>
      </c>
    </row>
    <row r="457" spans="1:15" x14ac:dyDescent="0.3">
      <c r="A457" t="s">
        <v>872</v>
      </c>
      <c r="B457" t="s">
        <v>466</v>
      </c>
      <c r="C457" t="s">
        <v>372</v>
      </c>
      <c r="D457" t="s">
        <v>29</v>
      </c>
      <c r="E457" t="s">
        <v>48</v>
      </c>
      <c r="F457" t="s">
        <v>20</v>
      </c>
      <c r="G457" t="s">
        <v>49</v>
      </c>
      <c r="H457" t="s">
        <v>22</v>
      </c>
      <c r="I457" t="s">
        <v>23</v>
      </c>
      <c r="J457" t="s">
        <v>24</v>
      </c>
      <c r="K457" t="s">
        <v>81</v>
      </c>
      <c r="L457">
        <v>4</v>
      </c>
      <c r="M457">
        <v>5700</v>
      </c>
      <c r="N457">
        <v>5</v>
      </c>
      <c r="O457">
        <v>648.58000000000004</v>
      </c>
    </row>
    <row r="458" spans="1:15" x14ac:dyDescent="0.3">
      <c r="A458" t="s">
        <v>873</v>
      </c>
      <c r="B458" t="s">
        <v>758</v>
      </c>
      <c r="C458" t="s">
        <v>158</v>
      </c>
      <c r="D458" t="s">
        <v>85</v>
      </c>
      <c r="E458" t="s">
        <v>113</v>
      </c>
      <c r="F458" t="s">
        <v>114</v>
      </c>
      <c r="G458" t="s">
        <v>115</v>
      </c>
      <c r="H458" t="s">
        <v>59</v>
      </c>
      <c r="I458" t="s">
        <v>93</v>
      </c>
      <c r="J458" t="s">
        <v>94</v>
      </c>
      <c r="K458" t="s">
        <v>43</v>
      </c>
      <c r="L458">
        <v>2</v>
      </c>
      <c r="M458">
        <v>2880</v>
      </c>
      <c r="N458">
        <v>20</v>
      </c>
      <c r="O458">
        <v>428.34</v>
      </c>
    </row>
    <row r="459" spans="1:15" x14ac:dyDescent="0.3">
      <c r="A459" t="s">
        <v>874</v>
      </c>
      <c r="B459" t="s">
        <v>311</v>
      </c>
      <c r="C459" t="s">
        <v>547</v>
      </c>
      <c r="D459" t="s">
        <v>98</v>
      </c>
      <c r="E459" t="s">
        <v>119</v>
      </c>
      <c r="F459" t="s">
        <v>31</v>
      </c>
      <c r="G459" t="s">
        <v>120</v>
      </c>
      <c r="H459" t="s">
        <v>40</v>
      </c>
      <c r="I459" t="s">
        <v>50</v>
      </c>
      <c r="J459" t="s">
        <v>51</v>
      </c>
      <c r="K459" t="s">
        <v>25</v>
      </c>
      <c r="L459">
        <v>4</v>
      </c>
      <c r="M459">
        <v>32300</v>
      </c>
      <c r="N459">
        <v>5</v>
      </c>
      <c r="O459">
        <v>4294.47</v>
      </c>
    </row>
    <row r="460" spans="1:15" x14ac:dyDescent="0.3">
      <c r="A460" t="s">
        <v>875</v>
      </c>
      <c r="B460" t="s">
        <v>409</v>
      </c>
      <c r="C460" t="s">
        <v>876</v>
      </c>
      <c r="D460" t="s">
        <v>55</v>
      </c>
      <c r="E460" t="s">
        <v>113</v>
      </c>
      <c r="F460" t="s">
        <v>114</v>
      </c>
      <c r="G460" t="s">
        <v>115</v>
      </c>
      <c r="H460" t="s">
        <v>59</v>
      </c>
      <c r="I460" t="s">
        <v>93</v>
      </c>
      <c r="J460" t="s">
        <v>94</v>
      </c>
      <c r="K460" t="s">
        <v>81</v>
      </c>
      <c r="L460">
        <v>5</v>
      </c>
      <c r="M460">
        <v>9000</v>
      </c>
      <c r="N460">
        <v>0</v>
      </c>
      <c r="O460">
        <v>1846.6</v>
      </c>
    </row>
    <row r="461" spans="1:15" x14ac:dyDescent="0.3">
      <c r="A461" t="s">
        <v>877</v>
      </c>
      <c r="B461" t="s">
        <v>878</v>
      </c>
      <c r="C461" t="s">
        <v>200</v>
      </c>
      <c r="D461" t="s">
        <v>18</v>
      </c>
      <c r="E461" t="s">
        <v>119</v>
      </c>
      <c r="F461" t="s">
        <v>31</v>
      </c>
      <c r="G461" t="s">
        <v>120</v>
      </c>
      <c r="H461" t="s">
        <v>22</v>
      </c>
      <c r="I461" t="s">
        <v>155</v>
      </c>
      <c r="J461" t="s">
        <v>156</v>
      </c>
      <c r="K461" t="s">
        <v>62</v>
      </c>
      <c r="L461">
        <v>2</v>
      </c>
      <c r="M461">
        <v>14450</v>
      </c>
      <c r="N461">
        <v>15</v>
      </c>
      <c r="O461">
        <v>2101.2199999999998</v>
      </c>
    </row>
    <row r="462" spans="1:15" x14ac:dyDescent="0.3">
      <c r="A462" t="s">
        <v>879</v>
      </c>
      <c r="B462" t="s">
        <v>235</v>
      </c>
      <c r="C462" t="s">
        <v>258</v>
      </c>
      <c r="D462" t="s">
        <v>80</v>
      </c>
      <c r="E462" t="s">
        <v>66</v>
      </c>
      <c r="F462" t="s">
        <v>20</v>
      </c>
      <c r="G462" t="s">
        <v>67</v>
      </c>
      <c r="H462" t="s">
        <v>40</v>
      </c>
      <c r="I462" t="s">
        <v>41</v>
      </c>
      <c r="J462" t="s">
        <v>42</v>
      </c>
      <c r="K462" t="s">
        <v>25</v>
      </c>
      <c r="L462">
        <v>5</v>
      </c>
      <c r="M462">
        <v>60000</v>
      </c>
      <c r="N462">
        <v>0</v>
      </c>
      <c r="O462">
        <v>6368.12</v>
      </c>
    </row>
    <row r="463" spans="1:15" x14ac:dyDescent="0.3">
      <c r="A463" t="s">
        <v>880</v>
      </c>
      <c r="B463" t="s">
        <v>881</v>
      </c>
      <c r="C463" t="s">
        <v>710</v>
      </c>
      <c r="D463" t="s">
        <v>29</v>
      </c>
      <c r="E463" t="s">
        <v>30</v>
      </c>
      <c r="F463" t="s">
        <v>31</v>
      </c>
      <c r="G463" t="s">
        <v>32</v>
      </c>
      <c r="H463" t="s">
        <v>22</v>
      </c>
      <c r="I463" t="s">
        <v>23</v>
      </c>
      <c r="J463" t="s">
        <v>24</v>
      </c>
      <c r="K463" t="s">
        <v>43</v>
      </c>
      <c r="L463">
        <v>3</v>
      </c>
      <c r="M463">
        <v>17550</v>
      </c>
      <c r="N463">
        <v>10</v>
      </c>
      <c r="O463">
        <v>1620.15</v>
      </c>
    </row>
    <row r="464" spans="1:15" x14ac:dyDescent="0.3">
      <c r="A464" t="s">
        <v>882</v>
      </c>
      <c r="B464" t="s">
        <v>619</v>
      </c>
      <c r="C464" t="s">
        <v>171</v>
      </c>
      <c r="D464" t="s">
        <v>55</v>
      </c>
      <c r="E464" t="s">
        <v>30</v>
      </c>
      <c r="F464" t="s">
        <v>31</v>
      </c>
      <c r="G464" t="s">
        <v>32</v>
      </c>
      <c r="H464" t="s">
        <v>22</v>
      </c>
      <c r="I464" t="s">
        <v>155</v>
      </c>
      <c r="J464" t="s">
        <v>156</v>
      </c>
      <c r="K464" t="s">
        <v>81</v>
      </c>
      <c r="L464">
        <v>4</v>
      </c>
      <c r="M464">
        <v>26000</v>
      </c>
      <c r="N464">
        <v>0</v>
      </c>
      <c r="O464">
        <v>4954.99</v>
      </c>
    </row>
    <row r="465" spans="1:15" x14ac:dyDescent="0.3">
      <c r="A465" t="s">
        <v>883</v>
      </c>
      <c r="B465" t="s">
        <v>783</v>
      </c>
      <c r="C465" t="s">
        <v>203</v>
      </c>
      <c r="D465" t="s">
        <v>85</v>
      </c>
      <c r="E465" t="s">
        <v>113</v>
      </c>
      <c r="F465" t="s">
        <v>114</v>
      </c>
      <c r="G465" t="s">
        <v>115</v>
      </c>
      <c r="H465" t="s">
        <v>22</v>
      </c>
      <c r="I465" t="s">
        <v>155</v>
      </c>
      <c r="J465" t="s">
        <v>156</v>
      </c>
      <c r="K465" t="s">
        <v>43</v>
      </c>
      <c r="L465">
        <v>4</v>
      </c>
      <c r="M465">
        <v>6480</v>
      </c>
      <c r="N465">
        <v>10</v>
      </c>
      <c r="O465">
        <v>779.78</v>
      </c>
    </row>
    <row r="466" spans="1:15" x14ac:dyDescent="0.3">
      <c r="A466" t="s">
        <v>884</v>
      </c>
      <c r="B466" t="s">
        <v>515</v>
      </c>
      <c r="C466" t="s">
        <v>481</v>
      </c>
      <c r="D466" t="s">
        <v>80</v>
      </c>
      <c r="E466" t="s">
        <v>56</v>
      </c>
      <c r="F466" t="s">
        <v>57</v>
      </c>
      <c r="G466" t="s">
        <v>58</v>
      </c>
      <c r="H466" t="s">
        <v>22</v>
      </c>
      <c r="I466" t="s">
        <v>155</v>
      </c>
      <c r="J466" t="s">
        <v>156</v>
      </c>
      <c r="K466" t="s">
        <v>81</v>
      </c>
      <c r="L466">
        <v>4</v>
      </c>
      <c r="M466">
        <v>1330</v>
      </c>
      <c r="N466">
        <v>5</v>
      </c>
      <c r="O466">
        <v>272.58999999999997</v>
      </c>
    </row>
    <row r="467" spans="1:15" x14ac:dyDescent="0.3">
      <c r="A467" t="s">
        <v>885</v>
      </c>
      <c r="B467" t="s">
        <v>416</v>
      </c>
      <c r="C467" t="s">
        <v>27</v>
      </c>
      <c r="D467" t="s">
        <v>18</v>
      </c>
      <c r="E467" t="s">
        <v>119</v>
      </c>
      <c r="F467" t="s">
        <v>31</v>
      </c>
      <c r="G467" t="s">
        <v>120</v>
      </c>
      <c r="H467" t="s">
        <v>59</v>
      </c>
      <c r="I467" t="s">
        <v>60</v>
      </c>
      <c r="J467" t="s">
        <v>61</v>
      </c>
      <c r="K467" t="s">
        <v>81</v>
      </c>
      <c r="L467">
        <v>3</v>
      </c>
      <c r="M467">
        <v>22950</v>
      </c>
      <c r="N467">
        <v>10</v>
      </c>
      <c r="O467">
        <v>4693.3100000000004</v>
      </c>
    </row>
    <row r="468" spans="1:15" x14ac:dyDescent="0.3">
      <c r="A468" t="s">
        <v>886</v>
      </c>
      <c r="B468" t="s">
        <v>352</v>
      </c>
      <c r="C468" t="s">
        <v>718</v>
      </c>
      <c r="D468" t="s">
        <v>102</v>
      </c>
      <c r="E468" t="s">
        <v>19</v>
      </c>
      <c r="F468" t="s">
        <v>20</v>
      </c>
      <c r="G468" t="s">
        <v>21</v>
      </c>
      <c r="H468" t="s">
        <v>59</v>
      </c>
      <c r="I468" t="s">
        <v>60</v>
      </c>
      <c r="J468" t="s">
        <v>61</v>
      </c>
      <c r="K468" t="s">
        <v>25</v>
      </c>
      <c r="L468">
        <v>2</v>
      </c>
      <c r="M468">
        <v>93500</v>
      </c>
      <c r="N468">
        <v>15</v>
      </c>
      <c r="O468">
        <v>15187.23</v>
      </c>
    </row>
    <row r="469" spans="1:15" x14ac:dyDescent="0.3">
      <c r="A469" t="s">
        <v>887</v>
      </c>
      <c r="B469" t="s">
        <v>508</v>
      </c>
      <c r="C469" t="s">
        <v>92</v>
      </c>
      <c r="D469" t="s">
        <v>73</v>
      </c>
      <c r="E469" t="s">
        <v>66</v>
      </c>
      <c r="F469" t="s">
        <v>20</v>
      </c>
      <c r="G469" t="s">
        <v>67</v>
      </c>
      <c r="H469" t="s">
        <v>22</v>
      </c>
      <c r="I469" t="s">
        <v>23</v>
      </c>
      <c r="J469" t="s">
        <v>24</v>
      </c>
      <c r="K469" t="s">
        <v>43</v>
      </c>
      <c r="L469">
        <v>3</v>
      </c>
      <c r="M469">
        <v>32400</v>
      </c>
      <c r="N469">
        <v>10</v>
      </c>
      <c r="O469">
        <v>5501.81</v>
      </c>
    </row>
    <row r="470" spans="1:15" x14ac:dyDescent="0.3">
      <c r="A470" t="s">
        <v>888</v>
      </c>
      <c r="B470" t="s">
        <v>835</v>
      </c>
      <c r="C470" t="s">
        <v>287</v>
      </c>
      <c r="D470" t="s">
        <v>39</v>
      </c>
      <c r="E470" t="s">
        <v>30</v>
      </c>
      <c r="F470" t="s">
        <v>31</v>
      </c>
      <c r="G470" t="s">
        <v>32</v>
      </c>
      <c r="H470" t="s">
        <v>40</v>
      </c>
      <c r="I470" t="s">
        <v>50</v>
      </c>
      <c r="J470" t="s">
        <v>51</v>
      </c>
      <c r="K470" t="s">
        <v>81</v>
      </c>
      <c r="L470">
        <v>1</v>
      </c>
      <c r="M470">
        <v>5525</v>
      </c>
      <c r="N470">
        <v>15</v>
      </c>
      <c r="O470">
        <v>997.56</v>
      </c>
    </row>
    <row r="471" spans="1:15" x14ac:dyDescent="0.3">
      <c r="A471" t="s">
        <v>889</v>
      </c>
      <c r="B471" t="s">
        <v>281</v>
      </c>
      <c r="C471" t="s">
        <v>639</v>
      </c>
      <c r="D471" t="s">
        <v>85</v>
      </c>
      <c r="E471" t="s">
        <v>48</v>
      </c>
      <c r="F471" t="s">
        <v>20</v>
      </c>
      <c r="G471" t="s">
        <v>49</v>
      </c>
      <c r="H471" t="s">
        <v>33</v>
      </c>
      <c r="I471" t="s">
        <v>34</v>
      </c>
      <c r="J471" t="s">
        <v>35</v>
      </c>
      <c r="K471" t="s">
        <v>62</v>
      </c>
      <c r="L471">
        <v>1</v>
      </c>
      <c r="M471">
        <v>1275</v>
      </c>
      <c r="N471">
        <v>15</v>
      </c>
      <c r="O471">
        <v>249.53</v>
      </c>
    </row>
    <row r="472" spans="1:15" x14ac:dyDescent="0.3">
      <c r="A472" t="s">
        <v>890</v>
      </c>
      <c r="B472" t="s">
        <v>706</v>
      </c>
      <c r="C472" t="s">
        <v>665</v>
      </c>
      <c r="D472" t="s">
        <v>102</v>
      </c>
      <c r="E472" t="s">
        <v>89</v>
      </c>
      <c r="F472" t="s">
        <v>20</v>
      </c>
      <c r="G472" t="s">
        <v>49</v>
      </c>
      <c r="H472" t="s">
        <v>40</v>
      </c>
      <c r="I472" t="s">
        <v>50</v>
      </c>
      <c r="J472" t="s">
        <v>51</v>
      </c>
      <c r="K472" t="s">
        <v>43</v>
      </c>
      <c r="L472">
        <v>4</v>
      </c>
      <c r="M472">
        <v>3420</v>
      </c>
      <c r="N472">
        <v>5</v>
      </c>
      <c r="O472">
        <v>494.66</v>
      </c>
    </row>
    <row r="473" spans="1:15" x14ac:dyDescent="0.3">
      <c r="A473" t="s">
        <v>891</v>
      </c>
      <c r="B473" t="s">
        <v>285</v>
      </c>
      <c r="C473" t="s">
        <v>272</v>
      </c>
      <c r="D473" t="s">
        <v>39</v>
      </c>
      <c r="E473" t="s">
        <v>66</v>
      </c>
      <c r="F473" t="s">
        <v>20</v>
      </c>
      <c r="G473" t="s">
        <v>67</v>
      </c>
      <c r="H473" t="s">
        <v>59</v>
      </c>
      <c r="I473" t="s">
        <v>93</v>
      </c>
      <c r="J473" t="s">
        <v>94</v>
      </c>
      <c r="K473" t="s">
        <v>81</v>
      </c>
      <c r="L473">
        <v>4</v>
      </c>
      <c r="M473">
        <v>40800</v>
      </c>
      <c r="N473">
        <v>15</v>
      </c>
      <c r="O473">
        <v>3638.77</v>
      </c>
    </row>
    <row r="474" spans="1:15" x14ac:dyDescent="0.3">
      <c r="A474" t="s">
        <v>892</v>
      </c>
      <c r="B474" t="s">
        <v>316</v>
      </c>
      <c r="C474" t="s">
        <v>662</v>
      </c>
      <c r="D474" t="s">
        <v>73</v>
      </c>
      <c r="E474" t="s">
        <v>119</v>
      </c>
      <c r="F474" t="s">
        <v>31</v>
      </c>
      <c r="G474" t="s">
        <v>120</v>
      </c>
      <c r="H474" t="s">
        <v>40</v>
      </c>
      <c r="I474" t="s">
        <v>41</v>
      </c>
      <c r="J474" t="s">
        <v>42</v>
      </c>
      <c r="K474" t="s">
        <v>43</v>
      </c>
      <c r="L474">
        <v>5</v>
      </c>
      <c r="M474">
        <v>34000</v>
      </c>
      <c r="N474">
        <v>20</v>
      </c>
      <c r="O474">
        <v>4257.37</v>
      </c>
    </row>
    <row r="475" spans="1:15" x14ac:dyDescent="0.3">
      <c r="A475" t="s">
        <v>893</v>
      </c>
      <c r="B475" t="s">
        <v>878</v>
      </c>
      <c r="C475" t="s">
        <v>291</v>
      </c>
      <c r="D475" t="s">
        <v>18</v>
      </c>
      <c r="E475" t="s">
        <v>130</v>
      </c>
      <c r="F475" t="s">
        <v>131</v>
      </c>
      <c r="G475" t="s">
        <v>132</v>
      </c>
      <c r="H475" t="s">
        <v>40</v>
      </c>
      <c r="I475" t="s">
        <v>41</v>
      </c>
      <c r="J475" t="s">
        <v>42</v>
      </c>
      <c r="K475" t="s">
        <v>81</v>
      </c>
      <c r="L475">
        <v>3</v>
      </c>
      <c r="M475">
        <v>1080</v>
      </c>
      <c r="N475">
        <v>20</v>
      </c>
      <c r="O475">
        <v>225.07</v>
      </c>
    </row>
    <row r="476" spans="1:15" x14ac:dyDescent="0.3">
      <c r="A476" t="s">
        <v>894</v>
      </c>
      <c r="B476" t="s">
        <v>450</v>
      </c>
      <c r="C476" t="s">
        <v>895</v>
      </c>
      <c r="D476" t="s">
        <v>98</v>
      </c>
      <c r="E476" t="s">
        <v>19</v>
      </c>
      <c r="F476" t="s">
        <v>20</v>
      </c>
      <c r="G476" t="s">
        <v>21</v>
      </c>
      <c r="H476" t="s">
        <v>40</v>
      </c>
      <c r="I476" t="s">
        <v>50</v>
      </c>
      <c r="J476" t="s">
        <v>51</v>
      </c>
      <c r="K476" t="s">
        <v>25</v>
      </c>
      <c r="L476">
        <v>5</v>
      </c>
      <c r="M476">
        <v>233750</v>
      </c>
      <c r="N476">
        <v>15</v>
      </c>
      <c r="O476">
        <v>33478.559999999998</v>
      </c>
    </row>
    <row r="477" spans="1:15" x14ac:dyDescent="0.3">
      <c r="A477" t="s">
        <v>896</v>
      </c>
      <c r="B477" t="s">
        <v>176</v>
      </c>
      <c r="C477" t="s">
        <v>234</v>
      </c>
      <c r="D477" t="s">
        <v>29</v>
      </c>
      <c r="E477" t="s">
        <v>66</v>
      </c>
      <c r="F477" t="s">
        <v>20</v>
      </c>
      <c r="G477" t="s">
        <v>67</v>
      </c>
      <c r="H477" t="s">
        <v>22</v>
      </c>
      <c r="I477" t="s">
        <v>23</v>
      </c>
      <c r="J477" t="s">
        <v>24</v>
      </c>
      <c r="K477" t="s">
        <v>25</v>
      </c>
      <c r="L477">
        <v>3</v>
      </c>
      <c r="M477">
        <v>32400</v>
      </c>
      <c r="N477">
        <v>10</v>
      </c>
      <c r="O477">
        <v>3471.16</v>
      </c>
    </row>
    <row r="478" spans="1:15" x14ac:dyDescent="0.3">
      <c r="A478" t="s">
        <v>897</v>
      </c>
      <c r="B478" t="s">
        <v>627</v>
      </c>
      <c r="C478" t="s">
        <v>454</v>
      </c>
      <c r="D478" t="s">
        <v>18</v>
      </c>
      <c r="E478" t="s">
        <v>56</v>
      </c>
      <c r="F478" t="s">
        <v>57</v>
      </c>
      <c r="G478" t="s">
        <v>58</v>
      </c>
      <c r="H478" t="s">
        <v>33</v>
      </c>
      <c r="I478" t="s">
        <v>34</v>
      </c>
      <c r="J478" t="s">
        <v>35</v>
      </c>
      <c r="K478" t="s">
        <v>43</v>
      </c>
      <c r="L478">
        <v>2</v>
      </c>
      <c r="M478">
        <v>560</v>
      </c>
      <c r="N478">
        <v>20</v>
      </c>
      <c r="O478">
        <v>91.23</v>
      </c>
    </row>
    <row r="479" spans="1:15" x14ac:dyDescent="0.3">
      <c r="A479" t="s">
        <v>898</v>
      </c>
      <c r="B479" t="s">
        <v>627</v>
      </c>
      <c r="C479" t="s">
        <v>497</v>
      </c>
      <c r="D479" t="s">
        <v>85</v>
      </c>
      <c r="E479" t="s">
        <v>19</v>
      </c>
      <c r="F479" t="s">
        <v>20</v>
      </c>
      <c r="G479" t="s">
        <v>21</v>
      </c>
      <c r="H479" t="s">
        <v>33</v>
      </c>
      <c r="I479" t="s">
        <v>68</v>
      </c>
      <c r="J479" t="s">
        <v>69</v>
      </c>
      <c r="K479" t="s">
        <v>81</v>
      </c>
      <c r="L479">
        <v>4</v>
      </c>
      <c r="M479">
        <v>220000</v>
      </c>
      <c r="N479">
        <v>0</v>
      </c>
      <c r="O479">
        <v>25117.59</v>
      </c>
    </row>
    <row r="480" spans="1:15" x14ac:dyDescent="0.3">
      <c r="A480" t="s">
        <v>899</v>
      </c>
      <c r="B480" t="s">
        <v>312</v>
      </c>
      <c r="C480" t="s">
        <v>674</v>
      </c>
      <c r="D480" t="s">
        <v>102</v>
      </c>
      <c r="E480" t="s">
        <v>89</v>
      </c>
      <c r="F480" t="s">
        <v>20</v>
      </c>
      <c r="G480" t="s">
        <v>49</v>
      </c>
      <c r="H480" t="s">
        <v>33</v>
      </c>
      <c r="I480" t="s">
        <v>34</v>
      </c>
      <c r="J480" t="s">
        <v>35</v>
      </c>
      <c r="K480" t="s">
        <v>25</v>
      </c>
      <c r="L480">
        <v>3</v>
      </c>
      <c r="M480">
        <v>2700</v>
      </c>
      <c r="N480">
        <v>0</v>
      </c>
      <c r="O480">
        <v>498.7</v>
      </c>
    </row>
    <row r="481" spans="1:15" x14ac:dyDescent="0.3">
      <c r="A481" t="s">
        <v>900</v>
      </c>
      <c r="B481" t="s">
        <v>223</v>
      </c>
      <c r="C481" t="s">
        <v>262</v>
      </c>
      <c r="D481" t="s">
        <v>29</v>
      </c>
      <c r="E481" t="s">
        <v>106</v>
      </c>
      <c r="F481" t="s">
        <v>20</v>
      </c>
      <c r="G481" t="s">
        <v>49</v>
      </c>
      <c r="H481" t="s">
        <v>59</v>
      </c>
      <c r="I481" t="s">
        <v>93</v>
      </c>
      <c r="J481" t="s">
        <v>94</v>
      </c>
      <c r="K481" t="s">
        <v>25</v>
      </c>
      <c r="L481">
        <v>4</v>
      </c>
      <c r="M481">
        <v>8360</v>
      </c>
      <c r="N481">
        <v>5</v>
      </c>
      <c r="O481">
        <v>742.64</v>
      </c>
    </row>
    <row r="482" spans="1:15" x14ac:dyDescent="0.3">
      <c r="A482" t="s">
        <v>901</v>
      </c>
      <c r="B482" t="s">
        <v>71</v>
      </c>
      <c r="C482" t="s">
        <v>320</v>
      </c>
      <c r="D482" t="s">
        <v>73</v>
      </c>
      <c r="E482" t="s">
        <v>48</v>
      </c>
      <c r="F482" t="s">
        <v>20</v>
      </c>
      <c r="G482" t="s">
        <v>49</v>
      </c>
      <c r="H482" t="s">
        <v>40</v>
      </c>
      <c r="I482" t="s">
        <v>50</v>
      </c>
      <c r="J482" t="s">
        <v>51</v>
      </c>
      <c r="K482" t="s">
        <v>62</v>
      </c>
      <c r="L482">
        <v>1</v>
      </c>
      <c r="M482">
        <v>1425</v>
      </c>
      <c r="N482">
        <v>5</v>
      </c>
      <c r="O482">
        <v>257.75</v>
      </c>
    </row>
    <row r="483" spans="1:15" x14ac:dyDescent="0.3">
      <c r="A483" t="s">
        <v>902</v>
      </c>
      <c r="B483" t="s">
        <v>497</v>
      </c>
      <c r="C483" t="s">
        <v>398</v>
      </c>
      <c r="D483" t="s">
        <v>80</v>
      </c>
      <c r="E483" t="s">
        <v>113</v>
      </c>
      <c r="F483" t="s">
        <v>114</v>
      </c>
      <c r="G483" t="s">
        <v>115</v>
      </c>
      <c r="H483" t="s">
        <v>40</v>
      </c>
      <c r="I483" t="s">
        <v>50</v>
      </c>
      <c r="J483" t="s">
        <v>51</v>
      </c>
      <c r="K483" t="s">
        <v>25</v>
      </c>
      <c r="L483">
        <v>2</v>
      </c>
      <c r="M483">
        <v>3240</v>
      </c>
      <c r="N483">
        <v>10</v>
      </c>
      <c r="O483">
        <v>378.73</v>
      </c>
    </row>
    <row r="484" spans="1:15" x14ac:dyDescent="0.3">
      <c r="A484" t="s">
        <v>903</v>
      </c>
      <c r="B484" t="s">
        <v>418</v>
      </c>
      <c r="C484" t="s">
        <v>87</v>
      </c>
      <c r="D484" t="s">
        <v>80</v>
      </c>
      <c r="E484" t="s">
        <v>119</v>
      </c>
      <c r="F484" t="s">
        <v>31</v>
      </c>
      <c r="G484" t="s">
        <v>120</v>
      </c>
      <c r="H484" t="s">
        <v>22</v>
      </c>
      <c r="I484" t="s">
        <v>155</v>
      </c>
      <c r="J484" t="s">
        <v>156</v>
      </c>
      <c r="K484" t="s">
        <v>43</v>
      </c>
      <c r="L484">
        <v>2</v>
      </c>
      <c r="M484">
        <v>17000</v>
      </c>
      <c r="N484">
        <v>0</v>
      </c>
      <c r="O484">
        <v>2496.4699999999998</v>
      </c>
    </row>
    <row r="485" spans="1:15" x14ac:dyDescent="0.3">
      <c r="A485" t="s">
        <v>904</v>
      </c>
      <c r="B485" t="s">
        <v>450</v>
      </c>
      <c r="C485" t="s">
        <v>447</v>
      </c>
      <c r="D485" t="s">
        <v>102</v>
      </c>
      <c r="E485" t="s">
        <v>106</v>
      </c>
      <c r="F485" t="s">
        <v>20</v>
      </c>
      <c r="G485" t="s">
        <v>49</v>
      </c>
      <c r="H485" t="s">
        <v>22</v>
      </c>
      <c r="I485" t="s">
        <v>23</v>
      </c>
      <c r="J485" t="s">
        <v>24</v>
      </c>
      <c r="K485" t="s">
        <v>43</v>
      </c>
      <c r="L485">
        <v>5</v>
      </c>
      <c r="M485">
        <v>9350</v>
      </c>
      <c r="N485">
        <v>15</v>
      </c>
      <c r="O485">
        <v>1881.24</v>
      </c>
    </row>
    <row r="486" spans="1:15" x14ac:dyDescent="0.3">
      <c r="A486" t="s">
        <v>905</v>
      </c>
      <c r="B486" t="s">
        <v>17</v>
      </c>
      <c r="C486" t="s">
        <v>324</v>
      </c>
      <c r="D486" t="s">
        <v>29</v>
      </c>
      <c r="E486" t="s">
        <v>113</v>
      </c>
      <c r="F486" t="s">
        <v>114</v>
      </c>
      <c r="G486" t="s">
        <v>115</v>
      </c>
      <c r="H486" t="s">
        <v>22</v>
      </c>
      <c r="I486" t="s">
        <v>155</v>
      </c>
      <c r="J486" t="s">
        <v>156</v>
      </c>
      <c r="K486" t="s">
        <v>43</v>
      </c>
      <c r="L486">
        <v>1</v>
      </c>
      <c r="M486">
        <v>1530</v>
      </c>
      <c r="N486">
        <v>15</v>
      </c>
      <c r="O486">
        <v>324.61</v>
      </c>
    </row>
    <row r="487" spans="1:15" x14ac:dyDescent="0.3">
      <c r="A487" t="s">
        <v>906</v>
      </c>
      <c r="B487" t="s">
        <v>281</v>
      </c>
      <c r="C487" t="s">
        <v>165</v>
      </c>
      <c r="D487" t="s">
        <v>55</v>
      </c>
      <c r="E487" t="s">
        <v>89</v>
      </c>
      <c r="F487" t="s">
        <v>20</v>
      </c>
      <c r="G487" t="s">
        <v>49</v>
      </c>
      <c r="H487" t="s">
        <v>59</v>
      </c>
      <c r="I487" t="s">
        <v>60</v>
      </c>
      <c r="J487" t="s">
        <v>61</v>
      </c>
      <c r="K487" t="s">
        <v>81</v>
      </c>
      <c r="L487">
        <v>2</v>
      </c>
      <c r="M487">
        <v>1440</v>
      </c>
      <c r="N487">
        <v>20</v>
      </c>
      <c r="O487">
        <v>177.23</v>
      </c>
    </row>
    <row r="488" spans="1:15" x14ac:dyDescent="0.3">
      <c r="A488" t="s">
        <v>907</v>
      </c>
      <c r="B488" t="s">
        <v>797</v>
      </c>
      <c r="C488" t="s">
        <v>217</v>
      </c>
      <c r="D488" t="s">
        <v>47</v>
      </c>
      <c r="E488" t="s">
        <v>56</v>
      </c>
      <c r="F488" t="s">
        <v>57</v>
      </c>
      <c r="G488" t="s">
        <v>58</v>
      </c>
      <c r="H488" t="s">
        <v>22</v>
      </c>
      <c r="I488" t="s">
        <v>155</v>
      </c>
      <c r="J488" t="s">
        <v>156</v>
      </c>
      <c r="K488" t="s">
        <v>81</v>
      </c>
      <c r="L488">
        <v>3</v>
      </c>
      <c r="M488">
        <v>892.5</v>
      </c>
      <c r="N488">
        <v>15</v>
      </c>
      <c r="O488">
        <v>186.34</v>
      </c>
    </row>
    <row r="489" spans="1:15" x14ac:dyDescent="0.3">
      <c r="A489" t="s">
        <v>908</v>
      </c>
      <c r="B489" t="s">
        <v>231</v>
      </c>
      <c r="C489" t="s">
        <v>619</v>
      </c>
      <c r="D489" t="s">
        <v>98</v>
      </c>
      <c r="E489" t="s">
        <v>113</v>
      </c>
      <c r="F489" t="s">
        <v>114</v>
      </c>
      <c r="G489" t="s">
        <v>115</v>
      </c>
      <c r="H489" t="s">
        <v>40</v>
      </c>
      <c r="I489" t="s">
        <v>50</v>
      </c>
      <c r="J489" t="s">
        <v>51</v>
      </c>
      <c r="K489" t="s">
        <v>62</v>
      </c>
      <c r="L489">
        <v>5</v>
      </c>
      <c r="M489">
        <v>8550</v>
      </c>
      <c r="N489">
        <v>5</v>
      </c>
      <c r="O489">
        <v>1508.56</v>
      </c>
    </row>
    <row r="490" spans="1:15" x14ac:dyDescent="0.3">
      <c r="A490" t="s">
        <v>909</v>
      </c>
      <c r="B490" t="s">
        <v>910</v>
      </c>
      <c r="C490" t="s">
        <v>331</v>
      </c>
      <c r="D490" t="s">
        <v>29</v>
      </c>
      <c r="E490" t="s">
        <v>106</v>
      </c>
      <c r="F490" t="s">
        <v>20</v>
      </c>
      <c r="G490" t="s">
        <v>49</v>
      </c>
      <c r="H490" t="s">
        <v>22</v>
      </c>
      <c r="I490" t="s">
        <v>23</v>
      </c>
      <c r="J490" t="s">
        <v>24</v>
      </c>
      <c r="K490" t="s">
        <v>25</v>
      </c>
      <c r="L490">
        <v>1</v>
      </c>
      <c r="M490">
        <v>1980</v>
      </c>
      <c r="N490">
        <v>10</v>
      </c>
      <c r="O490">
        <v>252.23</v>
      </c>
    </row>
    <row r="491" spans="1:15" x14ac:dyDescent="0.3">
      <c r="A491" t="s">
        <v>911</v>
      </c>
      <c r="B491" t="s">
        <v>450</v>
      </c>
      <c r="C491" t="s">
        <v>409</v>
      </c>
      <c r="D491" t="s">
        <v>29</v>
      </c>
      <c r="E491" t="s">
        <v>113</v>
      </c>
      <c r="F491" t="s">
        <v>114</v>
      </c>
      <c r="G491" t="s">
        <v>115</v>
      </c>
      <c r="H491" t="s">
        <v>40</v>
      </c>
      <c r="I491" t="s">
        <v>50</v>
      </c>
      <c r="J491" t="s">
        <v>51</v>
      </c>
      <c r="K491" t="s">
        <v>25</v>
      </c>
      <c r="L491">
        <v>3</v>
      </c>
      <c r="M491">
        <v>5400</v>
      </c>
      <c r="N491">
        <v>0</v>
      </c>
      <c r="O491">
        <v>488.77</v>
      </c>
    </row>
    <row r="492" spans="1:15" x14ac:dyDescent="0.3">
      <c r="A492" t="s">
        <v>912</v>
      </c>
      <c r="B492" t="s">
        <v>222</v>
      </c>
      <c r="C492" t="s">
        <v>582</v>
      </c>
      <c r="D492" t="s">
        <v>98</v>
      </c>
      <c r="E492" t="s">
        <v>89</v>
      </c>
      <c r="F492" t="s">
        <v>20</v>
      </c>
      <c r="G492" t="s">
        <v>49</v>
      </c>
      <c r="H492" t="s">
        <v>33</v>
      </c>
      <c r="I492" t="s">
        <v>68</v>
      </c>
      <c r="J492" t="s">
        <v>69</v>
      </c>
      <c r="K492" t="s">
        <v>25</v>
      </c>
      <c r="L492">
        <v>5</v>
      </c>
      <c r="M492">
        <v>4050</v>
      </c>
      <c r="N492">
        <v>10</v>
      </c>
      <c r="O492">
        <v>628.22</v>
      </c>
    </row>
    <row r="493" spans="1:15" x14ac:dyDescent="0.3">
      <c r="A493" t="s">
        <v>913</v>
      </c>
      <c r="B493" t="s">
        <v>46</v>
      </c>
      <c r="C493" t="s">
        <v>722</v>
      </c>
      <c r="D493" t="s">
        <v>73</v>
      </c>
      <c r="E493" t="s">
        <v>48</v>
      </c>
      <c r="F493" t="s">
        <v>20</v>
      </c>
      <c r="G493" t="s">
        <v>49</v>
      </c>
      <c r="H493" t="s">
        <v>59</v>
      </c>
      <c r="I493" t="s">
        <v>60</v>
      </c>
      <c r="J493" t="s">
        <v>61</v>
      </c>
      <c r="K493" t="s">
        <v>62</v>
      </c>
      <c r="L493">
        <v>3</v>
      </c>
      <c r="M493">
        <v>4500</v>
      </c>
      <c r="N493">
        <v>0</v>
      </c>
      <c r="O493">
        <v>417.75</v>
      </c>
    </row>
    <row r="494" spans="1:15" x14ac:dyDescent="0.3">
      <c r="A494" t="s">
        <v>914</v>
      </c>
      <c r="B494" t="s">
        <v>701</v>
      </c>
      <c r="C494" t="s">
        <v>385</v>
      </c>
      <c r="D494" t="s">
        <v>85</v>
      </c>
      <c r="E494" t="s">
        <v>66</v>
      </c>
      <c r="F494" t="s">
        <v>20</v>
      </c>
      <c r="G494" t="s">
        <v>67</v>
      </c>
      <c r="H494" t="s">
        <v>59</v>
      </c>
      <c r="I494" t="s">
        <v>60</v>
      </c>
      <c r="J494" t="s">
        <v>61</v>
      </c>
      <c r="K494" t="s">
        <v>25</v>
      </c>
      <c r="L494">
        <v>3</v>
      </c>
      <c r="M494">
        <v>28800</v>
      </c>
      <c r="N494">
        <v>20</v>
      </c>
      <c r="O494">
        <v>2453.56</v>
      </c>
    </row>
    <row r="495" spans="1:15" x14ac:dyDescent="0.3">
      <c r="A495" t="s">
        <v>915</v>
      </c>
      <c r="B495" t="s">
        <v>532</v>
      </c>
      <c r="C495" t="s">
        <v>635</v>
      </c>
      <c r="D495" t="s">
        <v>73</v>
      </c>
      <c r="E495" t="s">
        <v>48</v>
      </c>
      <c r="F495" t="s">
        <v>20</v>
      </c>
      <c r="G495" t="s">
        <v>49</v>
      </c>
      <c r="H495" t="s">
        <v>33</v>
      </c>
      <c r="I495" t="s">
        <v>68</v>
      </c>
      <c r="J495" t="s">
        <v>69</v>
      </c>
      <c r="K495" t="s">
        <v>43</v>
      </c>
      <c r="L495">
        <v>2</v>
      </c>
      <c r="M495">
        <v>2550</v>
      </c>
      <c r="N495">
        <v>15</v>
      </c>
      <c r="O495">
        <v>283.45</v>
      </c>
    </row>
    <row r="496" spans="1:15" x14ac:dyDescent="0.3">
      <c r="A496" t="s">
        <v>916</v>
      </c>
      <c r="B496" t="s">
        <v>589</v>
      </c>
      <c r="C496" t="s">
        <v>368</v>
      </c>
      <c r="D496" t="s">
        <v>73</v>
      </c>
      <c r="E496" t="s">
        <v>30</v>
      </c>
      <c r="F496" t="s">
        <v>31</v>
      </c>
      <c r="G496" t="s">
        <v>32</v>
      </c>
      <c r="H496" t="s">
        <v>59</v>
      </c>
      <c r="I496" t="s">
        <v>60</v>
      </c>
      <c r="J496" t="s">
        <v>61</v>
      </c>
      <c r="K496" t="s">
        <v>43</v>
      </c>
      <c r="L496">
        <v>3</v>
      </c>
      <c r="M496">
        <v>17550</v>
      </c>
      <c r="N496">
        <v>10</v>
      </c>
      <c r="O496">
        <v>1868.04</v>
      </c>
    </row>
    <row r="497" spans="1:15" x14ac:dyDescent="0.3">
      <c r="A497" t="s">
        <v>917</v>
      </c>
      <c r="B497" t="s">
        <v>745</v>
      </c>
      <c r="C497" t="s">
        <v>648</v>
      </c>
      <c r="D497" t="s">
        <v>98</v>
      </c>
      <c r="E497" t="s">
        <v>89</v>
      </c>
      <c r="F497" t="s">
        <v>20</v>
      </c>
      <c r="G497" t="s">
        <v>49</v>
      </c>
      <c r="H497" t="s">
        <v>59</v>
      </c>
      <c r="I497" t="s">
        <v>60</v>
      </c>
      <c r="J497" t="s">
        <v>61</v>
      </c>
      <c r="K497" t="s">
        <v>62</v>
      </c>
      <c r="L497">
        <v>3</v>
      </c>
      <c r="M497">
        <v>2160</v>
      </c>
      <c r="N497">
        <v>20</v>
      </c>
      <c r="O497">
        <v>219.68</v>
      </c>
    </row>
    <row r="498" spans="1:15" x14ac:dyDescent="0.3">
      <c r="A498" t="s">
        <v>918</v>
      </c>
      <c r="B498" t="s">
        <v>162</v>
      </c>
      <c r="C498" t="s">
        <v>242</v>
      </c>
      <c r="D498" t="s">
        <v>85</v>
      </c>
      <c r="E498" t="s">
        <v>66</v>
      </c>
      <c r="F498" t="s">
        <v>20</v>
      </c>
      <c r="G498" t="s">
        <v>67</v>
      </c>
      <c r="H498" t="s">
        <v>40</v>
      </c>
      <c r="I498" t="s">
        <v>50</v>
      </c>
      <c r="J498" t="s">
        <v>51</v>
      </c>
      <c r="K498" t="s">
        <v>25</v>
      </c>
      <c r="L498">
        <v>4</v>
      </c>
      <c r="M498">
        <v>40800</v>
      </c>
      <c r="N498">
        <v>15</v>
      </c>
      <c r="O498">
        <v>7845.44</v>
      </c>
    </row>
    <row r="499" spans="1:15" x14ac:dyDescent="0.3">
      <c r="A499" t="s">
        <v>919</v>
      </c>
      <c r="B499" t="s">
        <v>343</v>
      </c>
      <c r="C499" t="s">
        <v>269</v>
      </c>
      <c r="D499" t="s">
        <v>73</v>
      </c>
      <c r="E499" t="s">
        <v>119</v>
      </c>
      <c r="F499" t="s">
        <v>31</v>
      </c>
      <c r="G499" t="s">
        <v>120</v>
      </c>
      <c r="H499" t="s">
        <v>40</v>
      </c>
      <c r="I499" t="s">
        <v>50</v>
      </c>
      <c r="J499" t="s">
        <v>51</v>
      </c>
      <c r="K499" t="s">
        <v>43</v>
      </c>
      <c r="L499">
        <v>3</v>
      </c>
      <c r="M499">
        <v>20400</v>
      </c>
      <c r="N499">
        <v>20</v>
      </c>
      <c r="O499">
        <v>1693.17</v>
      </c>
    </row>
    <row r="500" spans="1:15" x14ac:dyDescent="0.3">
      <c r="A500" t="s">
        <v>920</v>
      </c>
      <c r="B500" t="s">
        <v>370</v>
      </c>
      <c r="C500" t="s">
        <v>813</v>
      </c>
      <c r="D500" t="s">
        <v>18</v>
      </c>
      <c r="E500" t="s">
        <v>19</v>
      </c>
      <c r="F500" t="s">
        <v>20</v>
      </c>
      <c r="G500" t="s">
        <v>21</v>
      </c>
      <c r="H500" t="s">
        <v>40</v>
      </c>
      <c r="I500" t="s">
        <v>50</v>
      </c>
      <c r="J500" t="s">
        <v>51</v>
      </c>
      <c r="K500" t="s">
        <v>25</v>
      </c>
      <c r="L500">
        <v>2</v>
      </c>
      <c r="M500">
        <v>110000</v>
      </c>
      <c r="N500">
        <v>0</v>
      </c>
      <c r="O500">
        <v>22008.03</v>
      </c>
    </row>
    <row r="501" spans="1:15" x14ac:dyDescent="0.3">
      <c r="A501" t="s">
        <v>921</v>
      </c>
      <c r="B501" t="s">
        <v>533</v>
      </c>
      <c r="C501" t="s">
        <v>144</v>
      </c>
      <c r="D501" t="s">
        <v>39</v>
      </c>
      <c r="E501" t="s">
        <v>19</v>
      </c>
      <c r="F501" t="s">
        <v>20</v>
      </c>
      <c r="G501" t="s">
        <v>21</v>
      </c>
      <c r="H501" t="s">
        <v>22</v>
      </c>
      <c r="I501" t="s">
        <v>155</v>
      </c>
      <c r="J501" t="s">
        <v>156</v>
      </c>
      <c r="K501" t="s">
        <v>62</v>
      </c>
      <c r="L501">
        <v>3</v>
      </c>
      <c r="M501">
        <v>165000</v>
      </c>
      <c r="N501">
        <v>0</v>
      </c>
      <c r="O501">
        <v>16321.51</v>
      </c>
    </row>
    <row r="502" spans="1:15" x14ac:dyDescent="0.3">
      <c r="A502" t="s">
        <v>922</v>
      </c>
      <c r="B502" t="s">
        <v>488</v>
      </c>
      <c r="C502" t="s">
        <v>454</v>
      </c>
      <c r="D502" t="s">
        <v>29</v>
      </c>
      <c r="E502" t="s">
        <v>119</v>
      </c>
      <c r="F502" t="s">
        <v>31</v>
      </c>
      <c r="G502" t="s">
        <v>120</v>
      </c>
      <c r="H502" t="s">
        <v>33</v>
      </c>
      <c r="I502" t="s">
        <v>68</v>
      </c>
      <c r="J502" t="s">
        <v>69</v>
      </c>
      <c r="K502" t="s">
        <v>43</v>
      </c>
      <c r="L502">
        <v>3</v>
      </c>
      <c r="M502">
        <v>20400</v>
      </c>
      <c r="N502">
        <v>20</v>
      </c>
      <c r="O502">
        <v>3532.34</v>
      </c>
    </row>
    <row r="503" spans="1:15" x14ac:dyDescent="0.3">
      <c r="A503" t="s">
        <v>923</v>
      </c>
      <c r="B503" t="s">
        <v>761</v>
      </c>
      <c r="C503" t="s">
        <v>176</v>
      </c>
      <c r="D503" t="s">
        <v>85</v>
      </c>
      <c r="E503" t="s">
        <v>113</v>
      </c>
      <c r="F503" t="s">
        <v>114</v>
      </c>
      <c r="G503" t="s">
        <v>115</v>
      </c>
      <c r="H503" t="s">
        <v>33</v>
      </c>
      <c r="I503" t="s">
        <v>68</v>
      </c>
      <c r="J503" t="s">
        <v>69</v>
      </c>
      <c r="K503" t="s">
        <v>25</v>
      </c>
      <c r="L503">
        <v>1</v>
      </c>
      <c r="M503">
        <v>1530</v>
      </c>
      <c r="N503">
        <v>15</v>
      </c>
      <c r="O503">
        <v>232.34</v>
      </c>
    </row>
    <row r="504" spans="1:15" x14ac:dyDescent="0.3">
      <c r="A504" t="s">
        <v>924</v>
      </c>
      <c r="B504" t="s">
        <v>226</v>
      </c>
      <c r="C504" t="s">
        <v>557</v>
      </c>
      <c r="D504" t="s">
        <v>73</v>
      </c>
      <c r="E504" t="s">
        <v>113</v>
      </c>
      <c r="F504" t="s">
        <v>114</v>
      </c>
      <c r="G504" t="s">
        <v>115</v>
      </c>
      <c r="H504" t="s">
        <v>22</v>
      </c>
      <c r="I504" t="s">
        <v>155</v>
      </c>
      <c r="J504" t="s">
        <v>156</v>
      </c>
      <c r="K504" t="s">
        <v>81</v>
      </c>
      <c r="L504">
        <v>3</v>
      </c>
      <c r="M504">
        <v>5130</v>
      </c>
      <c r="N504">
        <v>5</v>
      </c>
      <c r="O504">
        <v>668.99</v>
      </c>
    </row>
    <row r="505" spans="1:15" x14ac:dyDescent="0.3">
      <c r="A505" t="s">
        <v>925</v>
      </c>
      <c r="B505" t="s">
        <v>299</v>
      </c>
      <c r="C505" t="s">
        <v>111</v>
      </c>
      <c r="D505" t="s">
        <v>39</v>
      </c>
      <c r="E505" t="s">
        <v>106</v>
      </c>
      <c r="F505" t="s">
        <v>20</v>
      </c>
      <c r="G505" t="s">
        <v>49</v>
      </c>
      <c r="H505" t="s">
        <v>40</v>
      </c>
      <c r="I505" t="s">
        <v>41</v>
      </c>
      <c r="J505" t="s">
        <v>42</v>
      </c>
      <c r="K505" t="s">
        <v>81</v>
      </c>
      <c r="L505">
        <v>4</v>
      </c>
      <c r="M505">
        <v>8360</v>
      </c>
      <c r="N505">
        <v>5</v>
      </c>
      <c r="O505">
        <v>699.47</v>
      </c>
    </row>
    <row r="506" spans="1:15" x14ac:dyDescent="0.3">
      <c r="A506" t="s">
        <v>926</v>
      </c>
      <c r="B506" t="s">
        <v>641</v>
      </c>
      <c r="C506" t="s">
        <v>753</v>
      </c>
      <c r="D506" t="s">
        <v>18</v>
      </c>
      <c r="E506" t="s">
        <v>19</v>
      </c>
      <c r="F506" t="s">
        <v>20</v>
      </c>
      <c r="G506" t="s">
        <v>21</v>
      </c>
      <c r="H506" t="s">
        <v>40</v>
      </c>
      <c r="I506" t="s">
        <v>41</v>
      </c>
      <c r="J506" t="s">
        <v>42</v>
      </c>
      <c r="K506" t="s">
        <v>81</v>
      </c>
      <c r="L506">
        <v>4</v>
      </c>
      <c r="M506">
        <v>220000</v>
      </c>
      <c r="N506">
        <v>0</v>
      </c>
      <c r="O506">
        <v>19588.46</v>
      </c>
    </row>
    <row r="507" spans="1:15" x14ac:dyDescent="0.3">
      <c r="A507" t="s">
        <v>927</v>
      </c>
      <c r="B507" t="s">
        <v>631</v>
      </c>
      <c r="C507" t="s">
        <v>878</v>
      </c>
      <c r="D507" t="s">
        <v>73</v>
      </c>
      <c r="E507" t="s">
        <v>130</v>
      </c>
      <c r="F507" t="s">
        <v>131</v>
      </c>
      <c r="G507" t="s">
        <v>132</v>
      </c>
      <c r="H507" t="s">
        <v>33</v>
      </c>
      <c r="I507" t="s">
        <v>68</v>
      </c>
      <c r="J507" t="s">
        <v>133</v>
      </c>
      <c r="K507" t="s">
        <v>62</v>
      </c>
      <c r="L507">
        <v>3</v>
      </c>
      <c r="M507">
        <v>1215</v>
      </c>
      <c r="N507">
        <v>10</v>
      </c>
      <c r="O507">
        <v>154.13</v>
      </c>
    </row>
    <row r="508" spans="1:15" x14ac:dyDescent="0.3">
      <c r="A508" t="s">
        <v>928</v>
      </c>
      <c r="B508" t="s">
        <v>745</v>
      </c>
      <c r="C508" t="s">
        <v>623</v>
      </c>
      <c r="D508" t="s">
        <v>18</v>
      </c>
      <c r="E508" t="s">
        <v>130</v>
      </c>
      <c r="F508" t="s">
        <v>131</v>
      </c>
      <c r="G508" t="s">
        <v>132</v>
      </c>
      <c r="H508" t="s">
        <v>40</v>
      </c>
      <c r="I508" t="s">
        <v>41</v>
      </c>
      <c r="J508" t="s">
        <v>42</v>
      </c>
      <c r="K508" t="s">
        <v>81</v>
      </c>
      <c r="L508">
        <v>2</v>
      </c>
      <c r="M508">
        <v>765</v>
      </c>
      <c r="N508">
        <v>15</v>
      </c>
      <c r="O508">
        <v>62.57</v>
      </c>
    </row>
    <row r="509" spans="1:15" x14ac:dyDescent="0.3">
      <c r="A509" t="s">
        <v>929</v>
      </c>
      <c r="B509" t="s">
        <v>855</v>
      </c>
      <c r="C509" t="s">
        <v>167</v>
      </c>
      <c r="D509" t="s">
        <v>102</v>
      </c>
      <c r="E509" t="s">
        <v>113</v>
      </c>
      <c r="F509" t="s">
        <v>114</v>
      </c>
      <c r="G509" t="s">
        <v>115</v>
      </c>
      <c r="H509" t="s">
        <v>40</v>
      </c>
      <c r="I509" t="s">
        <v>50</v>
      </c>
      <c r="J509" t="s">
        <v>51</v>
      </c>
      <c r="K509" t="s">
        <v>25</v>
      </c>
      <c r="L509">
        <v>2</v>
      </c>
      <c r="M509">
        <v>3420</v>
      </c>
      <c r="N509">
        <v>5</v>
      </c>
      <c r="O509">
        <v>607.45000000000005</v>
      </c>
    </row>
    <row r="510" spans="1:15" x14ac:dyDescent="0.3">
      <c r="A510" t="s">
        <v>930</v>
      </c>
      <c r="B510" t="s">
        <v>256</v>
      </c>
      <c r="C510" t="s">
        <v>83</v>
      </c>
      <c r="D510" t="s">
        <v>29</v>
      </c>
      <c r="E510" t="s">
        <v>130</v>
      </c>
      <c r="F510" t="s">
        <v>131</v>
      </c>
      <c r="G510" t="s">
        <v>132</v>
      </c>
      <c r="H510" t="s">
        <v>22</v>
      </c>
      <c r="I510" t="s">
        <v>155</v>
      </c>
      <c r="J510" t="s">
        <v>156</v>
      </c>
      <c r="K510" t="s">
        <v>81</v>
      </c>
      <c r="L510">
        <v>3</v>
      </c>
      <c r="M510">
        <v>1282.5</v>
      </c>
      <c r="N510">
        <v>5</v>
      </c>
      <c r="O510">
        <v>160.91</v>
      </c>
    </row>
    <row r="511" spans="1:15" x14ac:dyDescent="0.3">
      <c r="A511" t="s">
        <v>931</v>
      </c>
      <c r="B511" t="s">
        <v>500</v>
      </c>
      <c r="C511" t="s">
        <v>153</v>
      </c>
      <c r="D511" t="s">
        <v>85</v>
      </c>
      <c r="E511" t="s">
        <v>113</v>
      </c>
      <c r="F511" t="s">
        <v>114</v>
      </c>
      <c r="G511" t="s">
        <v>115</v>
      </c>
      <c r="H511" t="s">
        <v>33</v>
      </c>
      <c r="I511" t="s">
        <v>68</v>
      </c>
      <c r="J511" t="s">
        <v>69</v>
      </c>
      <c r="K511" t="s">
        <v>43</v>
      </c>
      <c r="L511">
        <v>3</v>
      </c>
      <c r="M511">
        <v>5400</v>
      </c>
      <c r="N511">
        <v>0</v>
      </c>
      <c r="O511">
        <v>609.91999999999996</v>
      </c>
    </row>
    <row r="512" spans="1:15" x14ac:dyDescent="0.3">
      <c r="A512" t="s">
        <v>932</v>
      </c>
      <c r="B512" t="s">
        <v>189</v>
      </c>
      <c r="C512" t="s">
        <v>299</v>
      </c>
      <c r="D512" t="s">
        <v>55</v>
      </c>
      <c r="E512" t="s">
        <v>106</v>
      </c>
      <c r="F512" t="s">
        <v>20</v>
      </c>
      <c r="G512" t="s">
        <v>49</v>
      </c>
      <c r="H512" t="s">
        <v>40</v>
      </c>
      <c r="I512" t="s">
        <v>50</v>
      </c>
      <c r="J512" t="s">
        <v>51</v>
      </c>
      <c r="K512" t="s">
        <v>62</v>
      </c>
      <c r="L512">
        <v>4</v>
      </c>
      <c r="M512">
        <v>7480</v>
      </c>
      <c r="N512">
        <v>15</v>
      </c>
      <c r="O512">
        <v>1246.45</v>
      </c>
    </row>
    <row r="513" spans="1:15" x14ac:dyDescent="0.3">
      <c r="A513" t="s">
        <v>933</v>
      </c>
      <c r="B513" t="s">
        <v>232</v>
      </c>
      <c r="C513" t="s">
        <v>338</v>
      </c>
      <c r="D513" t="s">
        <v>47</v>
      </c>
      <c r="E513" t="s">
        <v>106</v>
      </c>
      <c r="F513" t="s">
        <v>20</v>
      </c>
      <c r="G513" t="s">
        <v>49</v>
      </c>
      <c r="H513" t="s">
        <v>22</v>
      </c>
      <c r="I513" t="s">
        <v>155</v>
      </c>
      <c r="J513" t="s">
        <v>156</v>
      </c>
      <c r="K513" t="s">
        <v>25</v>
      </c>
      <c r="L513">
        <v>4</v>
      </c>
      <c r="M513">
        <v>8800</v>
      </c>
      <c r="N513">
        <v>0</v>
      </c>
      <c r="O513">
        <v>1894.39</v>
      </c>
    </row>
    <row r="514" spans="1:15" x14ac:dyDescent="0.3">
      <c r="A514" t="s">
        <v>934</v>
      </c>
      <c r="B514" t="s">
        <v>206</v>
      </c>
      <c r="C514" t="s">
        <v>189</v>
      </c>
      <c r="D514" t="s">
        <v>80</v>
      </c>
      <c r="E514" t="s">
        <v>130</v>
      </c>
      <c r="F514" t="s">
        <v>131</v>
      </c>
      <c r="G514" t="s">
        <v>132</v>
      </c>
      <c r="H514" t="s">
        <v>22</v>
      </c>
      <c r="I514" t="s">
        <v>23</v>
      </c>
      <c r="J514" t="s">
        <v>24</v>
      </c>
      <c r="K514" t="s">
        <v>25</v>
      </c>
      <c r="L514">
        <v>4</v>
      </c>
      <c r="M514">
        <v>1440</v>
      </c>
      <c r="N514">
        <v>20</v>
      </c>
      <c r="O514">
        <v>238.31</v>
      </c>
    </row>
    <row r="515" spans="1:15" x14ac:dyDescent="0.3">
      <c r="A515" t="s">
        <v>935</v>
      </c>
      <c r="B515" t="s">
        <v>720</v>
      </c>
      <c r="C515" t="s">
        <v>16</v>
      </c>
      <c r="D515" t="s">
        <v>98</v>
      </c>
      <c r="E515" t="s">
        <v>119</v>
      </c>
      <c r="F515" t="s">
        <v>31</v>
      </c>
      <c r="G515" t="s">
        <v>120</v>
      </c>
      <c r="H515" t="s">
        <v>33</v>
      </c>
      <c r="I515" t="s">
        <v>68</v>
      </c>
      <c r="J515" t="s">
        <v>133</v>
      </c>
      <c r="K515" t="s">
        <v>25</v>
      </c>
      <c r="L515">
        <v>2</v>
      </c>
      <c r="M515">
        <v>15300</v>
      </c>
      <c r="N515">
        <v>10</v>
      </c>
      <c r="O515">
        <v>2353.42</v>
      </c>
    </row>
    <row r="516" spans="1:15" x14ac:dyDescent="0.3">
      <c r="A516" t="s">
        <v>936</v>
      </c>
      <c r="B516" t="s">
        <v>88</v>
      </c>
      <c r="C516" t="s">
        <v>793</v>
      </c>
      <c r="D516" t="s">
        <v>29</v>
      </c>
      <c r="E516" t="s">
        <v>66</v>
      </c>
      <c r="F516" t="s">
        <v>20</v>
      </c>
      <c r="G516" t="s">
        <v>67</v>
      </c>
      <c r="H516" t="s">
        <v>40</v>
      </c>
      <c r="I516" t="s">
        <v>50</v>
      </c>
      <c r="J516" t="s">
        <v>51</v>
      </c>
      <c r="K516" t="s">
        <v>43</v>
      </c>
      <c r="L516">
        <v>2</v>
      </c>
      <c r="M516">
        <v>19200</v>
      </c>
      <c r="N516">
        <v>20</v>
      </c>
      <c r="O516">
        <v>3862.98</v>
      </c>
    </row>
    <row r="517" spans="1:15" x14ac:dyDescent="0.3">
      <c r="A517" t="s">
        <v>937</v>
      </c>
      <c r="B517" t="s">
        <v>511</v>
      </c>
      <c r="C517" t="s">
        <v>653</v>
      </c>
      <c r="D517" t="s">
        <v>39</v>
      </c>
      <c r="E517" t="s">
        <v>130</v>
      </c>
      <c r="F517" t="s">
        <v>131</v>
      </c>
      <c r="G517" t="s">
        <v>132</v>
      </c>
      <c r="H517" t="s">
        <v>40</v>
      </c>
      <c r="I517" t="s">
        <v>50</v>
      </c>
      <c r="J517" t="s">
        <v>51</v>
      </c>
      <c r="K517" t="s">
        <v>43</v>
      </c>
      <c r="L517">
        <v>4</v>
      </c>
      <c r="M517">
        <v>1440</v>
      </c>
      <c r="N517">
        <v>20</v>
      </c>
      <c r="O517">
        <v>259.82</v>
      </c>
    </row>
    <row r="518" spans="1:15" x14ac:dyDescent="0.3">
      <c r="A518" t="s">
        <v>938</v>
      </c>
      <c r="B518" t="s">
        <v>655</v>
      </c>
      <c r="C518" t="s">
        <v>215</v>
      </c>
      <c r="D518" t="s">
        <v>80</v>
      </c>
      <c r="E518" t="s">
        <v>56</v>
      </c>
      <c r="F518" t="s">
        <v>57</v>
      </c>
      <c r="G518" t="s">
        <v>58</v>
      </c>
      <c r="H518" t="s">
        <v>33</v>
      </c>
      <c r="I518" t="s">
        <v>68</v>
      </c>
      <c r="J518" t="s">
        <v>133</v>
      </c>
      <c r="K518" t="s">
        <v>43</v>
      </c>
      <c r="L518">
        <v>2</v>
      </c>
      <c r="M518">
        <v>595</v>
      </c>
      <c r="N518">
        <v>15</v>
      </c>
      <c r="O518">
        <v>104.96</v>
      </c>
    </row>
    <row r="519" spans="1:15" x14ac:dyDescent="0.3">
      <c r="A519" t="s">
        <v>939</v>
      </c>
      <c r="B519" t="s">
        <v>171</v>
      </c>
      <c r="C519" t="s">
        <v>596</v>
      </c>
      <c r="D519" t="s">
        <v>29</v>
      </c>
      <c r="E519" t="s">
        <v>66</v>
      </c>
      <c r="F519" t="s">
        <v>20</v>
      </c>
      <c r="G519" t="s">
        <v>67</v>
      </c>
      <c r="H519" t="s">
        <v>40</v>
      </c>
      <c r="I519" t="s">
        <v>41</v>
      </c>
      <c r="J519" t="s">
        <v>42</v>
      </c>
      <c r="K519" t="s">
        <v>81</v>
      </c>
      <c r="L519">
        <v>2</v>
      </c>
      <c r="M519">
        <v>22800</v>
      </c>
      <c r="N519">
        <v>5</v>
      </c>
      <c r="O519">
        <v>3312.71</v>
      </c>
    </row>
    <row r="520" spans="1:15" x14ac:dyDescent="0.3">
      <c r="A520" t="s">
        <v>940</v>
      </c>
      <c r="B520" t="s">
        <v>280</v>
      </c>
      <c r="C520" t="s">
        <v>659</v>
      </c>
      <c r="D520" t="s">
        <v>18</v>
      </c>
      <c r="E520" t="s">
        <v>66</v>
      </c>
      <c r="F520" t="s">
        <v>20</v>
      </c>
      <c r="G520" t="s">
        <v>67</v>
      </c>
      <c r="H520" t="s">
        <v>59</v>
      </c>
      <c r="I520" t="s">
        <v>93</v>
      </c>
      <c r="J520" t="s">
        <v>94</v>
      </c>
      <c r="K520" t="s">
        <v>25</v>
      </c>
      <c r="L520">
        <v>3</v>
      </c>
      <c r="M520">
        <v>30600</v>
      </c>
      <c r="N520">
        <v>15</v>
      </c>
      <c r="O520">
        <v>6383.48</v>
      </c>
    </row>
    <row r="521" spans="1:15" x14ac:dyDescent="0.3">
      <c r="A521" t="s">
        <v>941</v>
      </c>
      <c r="B521" t="s">
        <v>309</v>
      </c>
      <c r="C521" t="s">
        <v>408</v>
      </c>
      <c r="D521" t="s">
        <v>98</v>
      </c>
      <c r="E521" t="s">
        <v>66</v>
      </c>
      <c r="F521" t="s">
        <v>20</v>
      </c>
      <c r="G521" t="s">
        <v>67</v>
      </c>
      <c r="H521" t="s">
        <v>22</v>
      </c>
      <c r="I521" t="s">
        <v>155</v>
      </c>
      <c r="J521" t="s">
        <v>156</v>
      </c>
      <c r="K521" t="s">
        <v>25</v>
      </c>
      <c r="L521">
        <v>5</v>
      </c>
      <c r="M521">
        <v>57000</v>
      </c>
      <c r="N521">
        <v>5</v>
      </c>
      <c r="O521">
        <v>11169.68</v>
      </c>
    </row>
    <row r="522" spans="1:15" x14ac:dyDescent="0.3">
      <c r="A522" t="s">
        <v>942</v>
      </c>
      <c r="B522" t="s">
        <v>943</v>
      </c>
      <c r="C522" t="s">
        <v>269</v>
      </c>
      <c r="D522" t="s">
        <v>80</v>
      </c>
      <c r="E522" t="s">
        <v>48</v>
      </c>
      <c r="F522" t="s">
        <v>20</v>
      </c>
      <c r="G522" t="s">
        <v>49</v>
      </c>
      <c r="H522" t="s">
        <v>59</v>
      </c>
      <c r="I522" t="s">
        <v>93</v>
      </c>
      <c r="J522" t="s">
        <v>94</v>
      </c>
      <c r="K522" t="s">
        <v>43</v>
      </c>
      <c r="L522">
        <v>2</v>
      </c>
      <c r="M522">
        <v>2400</v>
      </c>
      <c r="N522">
        <v>20</v>
      </c>
      <c r="O522">
        <v>283.17</v>
      </c>
    </row>
    <row r="523" spans="1:15" x14ac:dyDescent="0.3">
      <c r="A523" t="s">
        <v>944</v>
      </c>
      <c r="B523" t="s">
        <v>174</v>
      </c>
      <c r="C523" t="s">
        <v>868</v>
      </c>
      <c r="D523" t="s">
        <v>73</v>
      </c>
      <c r="E523" t="s">
        <v>66</v>
      </c>
      <c r="F523" t="s">
        <v>20</v>
      </c>
      <c r="G523" t="s">
        <v>67</v>
      </c>
      <c r="H523" t="s">
        <v>40</v>
      </c>
      <c r="I523" t="s">
        <v>41</v>
      </c>
      <c r="J523" t="s">
        <v>42</v>
      </c>
      <c r="K523" t="s">
        <v>43</v>
      </c>
      <c r="L523">
        <v>3</v>
      </c>
      <c r="M523">
        <v>28800</v>
      </c>
      <c r="N523">
        <v>20</v>
      </c>
      <c r="O523">
        <v>5702.51</v>
      </c>
    </row>
    <row r="524" spans="1:15" x14ac:dyDescent="0.3">
      <c r="A524" t="s">
        <v>945</v>
      </c>
      <c r="B524" t="s">
        <v>841</v>
      </c>
      <c r="C524" t="s">
        <v>38</v>
      </c>
      <c r="D524" t="s">
        <v>98</v>
      </c>
      <c r="E524" t="s">
        <v>89</v>
      </c>
      <c r="F524" t="s">
        <v>20</v>
      </c>
      <c r="G524" t="s">
        <v>49</v>
      </c>
      <c r="H524" t="s">
        <v>33</v>
      </c>
      <c r="I524" t="s">
        <v>68</v>
      </c>
      <c r="J524" t="s">
        <v>133</v>
      </c>
      <c r="K524" t="s">
        <v>81</v>
      </c>
      <c r="L524">
        <v>2</v>
      </c>
      <c r="M524">
        <v>1530</v>
      </c>
      <c r="N524">
        <v>15</v>
      </c>
      <c r="O524">
        <v>276.77</v>
      </c>
    </row>
    <row r="525" spans="1:15" x14ac:dyDescent="0.3">
      <c r="A525" t="s">
        <v>946</v>
      </c>
      <c r="B525" t="s">
        <v>242</v>
      </c>
      <c r="C525" t="s">
        <v>789</v>
      </c>
      <c r="D525" t="s">
        <v>102</v>
      </c>
      <c r="E525" t="s">
        <v>56</v>
      </c>
      <c r="F525" t="s">
        <v>57</v>
      </c>
      <c r="G525" t="s">
        <v>58</v>
      </c>
      <c r="H525" t="s">
        <v>33</v>
      </c>
      <c r="I525" t="s">
        <v>34</v>
      </c>
      <c r="J525" t="s">
        <v>35</v>
      </c>
      <c r="K525" t="s">
        <v>81</v>
      </c>
      <c r="L525">
        <v>4</v>
      </c>
      <c r="M525">
        <v>1330</v>
      </c>
      <c r="N525">
        <v>5</v>
      </c>
      <c r="O525">
        <v>235.71</v>
      </c>
    </row>
    <row r="526" spans="1:15" x14ac:dyDescent="0.3">
      <c r="A526" t="s">
        <v>947</v>
      </c>
      <c r="B526" t="s">
        <v>435</v>
      </c>
      <c r="C526" t="s">
        <v>324</v>
      </c>
      <c r="D526" t="s">
        <v>18</v>
      </c>
      <c r="E526" t="s">
        <v>48</v>
      </c>
      <c r="F526" t="s">
        <v>20</v>
      </c>
      <c r="G526" t="s">
        <v>49</v>
      </c>
      <c r="H526" t="s">
        <v>59</v>
      </c>
      <c r="I526" t="s">
        <v>60</v>
      </c>
      <c r="J526" t="s">
        <v>61</v>
      </c>
      <c r="K526" t="s">
        <v>62</v>
      </c>
      <c r="L526">
        <v>1</v>
      </c>
      <c r="M526">
        <v>1425</v>
      </c>
      <c r="N526">
        <v>5</v>
      </c>
      <c r="O526">
        <v>121.41</v>
      </c>
    </row>
    <row r="527" spans="1:15" x14ac:dyDescent="0.3">
      <c r="A527" t="s">
        <v>948</v>
      </c>
      <c r="B527" t="s">
        <v>765</v>
      </c>
      <c r="C527" t="s">
        <v>336</v>
      </c>
      <c r="D527" t="s">
        <v>55</v>
      </c>
      <c r="E527" t="s">
        <v>113</v>
      </c>
      <c r="F527" t="s">
        <v>114</v>
      </c>
      <c r="G527" t="s">
        <v>115</v>
      </c>
      <c r="H527" t="s">
        <v>59</v>
      </c>
      <c r="I527" t="s">
        <v>60</v>
      </c>
      <c r="J527" t="s">
        <v>61</v>
      </c>
      <c r="K527" t="s">
        <v>43</v>
      </c>
      <c r="L527">
        <v>3</v>
      </c>
      <c r="M527">
        <v>5130</v>
      </c>
      <c r="N527">
        <v>5</v>
      </c>
      <c r="O527">
        <v>659.59</v>
      </c>
    </row>
    <row r="528" spans="1:15" x14ac:dyDescent="0.3">
      <c r="A528" t="s">
        <v>949</v>
      </c>
      <c r="B528" t="s">
        <v>848</v>
      </c>
      <c r="C528" t="s">
        <v>269</v>
      </c>
      <c r="D528" t="s">
        <v>85</v>
      </c>
      <c r="E528" t="s">
        <v>130</v>
      </c>
      <c r="F528" t="s">
        <v>131</v>
      </c>
      <c r="G528" t="s">
        <v>132</v>
      </c>
      <c r="H528" t="s">
        <v>59</v>
      </c>
      <c r="I528" t="s">
        <v>60</v>
      </c>
      <c r="J528" t="s">
        <v>61</v>
      </c>
      <c r="K528" t="s">
        <v>62</v>
      </c>
      <c r="L528">
        <v>3</v>
      </c>
      <c r="M528">
        <v>1350</v>
      </c>
      <c r="N528">
        <v>0</v>
      </c>
      <c r="O528">
        <v>201.77</v>
      </c>
    </row>
    <row r="529" spans="1:15" x14ac:dyDescent="0.3">
      <c r="A529" t="s">
        <v>950</v>
      </c>
      <c r="B529" t="s">
        <v>491</v>
      </c>
      <c r="C529" t="s">
        <v>580</v>
      </c>
      <c r="D529" t="s">
        <v>98</v>
      </c>
      <c r="E529" t="s">
        <v>19</v>
      </c>
      <c r="F529" t="s">
        <v>20</v>
      </c>
      <c r="G529" t="s">
        <v>21</v>
      </c>
      <c r="H529" t="s">
        <v>59</v>
      </c>
      <c r="I529" t="s">
        <v>93</v>
      </c>
      <c r="J529" t="s">
        <v>94</v>
      </c>
      <c r="K529" t="s">
        <v>25</v>
      </c>
      <c r="L529">
        <v>2</v>
      </c>
      <c r="M529">
        <v>88000</v>
      </c>
      <c r="N529">
        <v>20</v>
      </c>
      <c r="O529">
        <v>8988.48</v>
      </c>
    </row>
    <row r="530" spans="1:15" x14ac:dyDescent="0.3">
      <c r="A530" t="s">
        <v>951</v>
      </c>
      <c r="B530" t="s">
        <v>797</v>
      </c>
      <c r="C530" t="s">
        <v>153</v>
      </c>
      <c r="D530" t="s">
        <v>80</v>
      </c>
      <c r="E530" t="s">
        <v>19</v>
      </c>
      <c r="F530" t="s">
        <v>20</v>
      </c>
      <c r="G530" t="s">
        <v>21</v>
      </c>
      <c r="H530" t="s">
        <v>40</v>
      </c>
      <c r="I530" t="s">
        <v>50</v>
      </c>
      <c r="J530" t="s">
        <v>51</v>
      </c>
      <c r="K530" t="s">
        <v>25</v>
      </c>
      <c r="L530">
        <v>1</v>
      </c>
      <c r="M530">
        <v>49500</v>
      </c>
      <c r="N530">
        <v>10</v>
      </c>
      <c r="O530">
        <v>4542.1400000000003</v>
      </c>
    </row>
    <row r="531" spans="1:15" x14ac:dyDescent="0.3">
      <c r="A531" t="s">
        <v>952</v>
      </c>
      <c r="B531" t="s">
        <v>605</v>
      </c>
      <c r="C531" t="s">
        <v>76</v>
      </c>
      <c r="D531" t="s">
        <v>55</v>
      </c>
      <c r="E531" t="s">
        <v>30</v>
      </c>
      <c r="F531" t="s">
        <v>31</v>
      </c>
      <c r="G531" t="s">
        <v>32</v>
      </c>
      <c r="H531" t="s">
        <v>22</v>
      </c>
      <c r="I531" t="s">
        <v>23</v>
      </c>
      <c r="J531" t="s">
        <v>24</v>
      </c>
      <c r="K531" t="s">
        <v>43</v>
      </c>
      <c r="L531">
        <v>5</v>
      </c>
      <c r="M531">
        <v>27625</v>
      </c>
      <c r="N531">
        <v>15</v>
      </c>
      <c r="O531">
        <v>3612.37</v>
      </c>
    </row>
    <row r="532" spans="1:15" x14ac:dyDescent="0.3">
      <c r="A532" t="s">
        <v>953</v>
      </c>
      <c r="B532" t="s">
        <v>532</v>
      </c>
      <c r="C532" t="s">
        <v>225</v>
      </c>
      <c r="D532" t="s">
        <v>55</v>
      </c>
      <c r="E532" t="s">
        <v>56</v>
      </c>
      <c r="F532" t="s">
        <v>57</v>
      </c>
      <c r="G532" t="s">
        <v>58</v>
      </c>
      <c r="H532" t="s">
        <v>40</v>
      </c>
      <c r="I532" t="s">
        <v>50</v>
      </c>
      <c r="J532" t="s">
        <v>51</v>
      </c>
      <c r="K532" t="s">
        <v>25</v>
      </c>
      <c r="L532">
        <v>5</v>
      </c>
      <c r="M532">
        <v>1662.5</v>
      </c>
      <c r="N532">
        <v>5</v>
      </c>
      <c r="O532">
        <v>232.56</v>
      </c>
    </row>
    <row r="533" spans="1:15" x14ac:dyDescent="0.3">
      <c r="A533" t="s">
        <v>954</v>
      </c>
      <c r="B533" t="s">
        <v>766</v>
      </c>
      <c r="C533" t="s">
        <v>336</v>
      </c>
      <c r="D533" t="s">
        <v>18</v>
      </c>
      <c r="E533" t="s">
        <v>89</v>
      </c>
      <c r="F533" t="s">
        <v>20</v>
      </c>
      <c r="G533" t="s">
        <v>49</v>
      </c>
      <c r="H533" t="s">
        <v>59</v>
      </c>
      <c r="I533" t="s">
        <v>60</v>
      </c>
      <c r="J533" t="s">
        <v>61</v>
      </c>
      <c r="K533" t="s">
        <v>81</v>
      </c>
      <c r="L533">
        <v>1</v>
      </c>
      <c r="M533">
        <v>900</v>
      </c>
      <c r="N533">
        <v>0</v>
      </c>
      <c r="O533">
        <v>180.6</v>
      </c>
    </row>
    <row r="534" spans="1:15" x14ac:dyDescent="0.3">
      <c r="A534" t="s">
        <v>955</v>
      </c>
      <c r="B534" t="s">
        <v>285</v>
      </c>
      <c r="C534" t="s">
        <v>135</v>
      </c>
      <c r="D534" t="s">
        <v>85</v>
      </c>
      <c r="E534" t="s">
        <v>66</v>
      </c>
      <c r="F534" t="s">
        <v>20</v>
      </c>
      <c r="G534" t="s">
        <v>67</v>
      </c>
      <c r="H534" t="s">
        <v>22</v>
      </c>
      <c r="I534" t="s">
        <v>23</v>
      </c>
      <c r="J534" t="s">
        <v>24</v>
      </c>
      <c r="K534" t="s">
        <v>43</v>
      </c>
      <c r="L534">
        <v>5</v>
      </c>
      <c r="M534">
        <v>54000</v>
      </c>
      <c r="N534">
        <v>10</v>
      </c>
      <c r="O534">
        <v>5014.2</v>
      </c>
    </row>
    <row r="535" spans="1:15" x14ac:dyDescent="0.3">
      <c r="A535" t="s">
        <v>956</v>
      </c>
      <c r="B535" t="s">
        <v>126</v>
      </c>
      <c r="C535" t="s">
        <v>272</v>
      </c>
      <c r="D535" t="s">
        <v>39</v>
      </c>
      <c r="E535" t="s">
        <v>106</v>
      </c>
      <c r="F535" t="s">
        <v>20</v>
      </c>
      <c r="G535" t="s">
        <v>49</v>
      </c>
      <c r="H535" t="s">
        <v>40</v>
      </c>
      <c r="I535" t="s">
        <v>41</v>
      </c>
      <c r="J535" t="s">
        <v>42</v>
      </c>
      <c r="K535" t="s">
        <v>43</v>
      </c>
      <c r="L535">
        <v>5</v>
      </c>
      <c r="M535">
        <v>9900</v>
      </c>
      <c r="N535">
        <v>10</v>
      </c>
      <c r="O535">
        <v>902.15</v>
      </c>
    </row>
    <row r="536" spans="1:15" x14ac:dyDescent="0.3">
      <c r="A536" t="s">
        <v>957</v>
      </c>
      <c r="B536" t="s">
        <v>881</v>
      </c>
      <c r="C536" t="s">
        <v>398</v>
      </c>
      <c r="D536" t="s">
        <v>29</v>
      </c>
      <c r="E536" t="s">
        <v>56</v>
      </c>
      <c r="F536" t="s">
        <v>57</v>
      </c>
      <c r="G536" t="s">
        <v>58</v>
      </c>
      <c r="H536" t="s">
        <v>33</v>
      </c>
      <c r="I536" t="s">
        <v>68</v>
      </c>
      <c r="J536" t="s">
        <v>69</v>
      </c>
      <c r="K536" t="s">
        <v>25</v>
      </c>
      <c r="L536">
        <v>2</v>
      </c>
      <c r="M536">
        <v>630</v>
      </c>
      <c r="N536">
        <v>10</v>
      </c>
      <c r="O536">
        <v>76.510000000000005</v>
      </c>
    </row>
    <row r="537" spans="1:15" x14ac:dyDescent="0.3">
      <c r="A537" t="s">
        <v>958</v>
      </c>
      <c r="B537" t="s">
        <v>513</v>
      </c>
      <c r="C537" t="s">
        <v>173</v>
      </c>
      <c r="D537" t="s">
        <v>55</v>
      </c>
      <c r="E537" t="s">
        <v>89</v>
      </c>
      <c r="F537" t="s">
        <v>20</v>
      </c>
      <c r="G537" t="s">
        <v>49</v>
      </c>
      <c r="H537" t="s">
        <v>22</v>
      </c>
      <c r="I537" t="s">
        <v>155</v>
      </c>
      <c r="J537" t="s">
        <v>156</v>
      </c>
      <c r="K537" t="s">
        <v>25</v>
      </c>
      <c r="L537">
        <v>2</v>
      </c>
      <c r="M537">
        <v>1530</v>
      </c>
      <c r="N537">
        <v>15</v>
      </c>
      <c r="O537">
        <v>168.16</v>
      </c>
    </row>
    <row r="538" spans="1:15" x14ac:dyDescent="0.3">
      <c r="A538" t="s">
        <v>959</v>
      </c>
      <c r="B538" t="s">
        <v>229</v>
      </c>
      <c r="C538" t="s">
        <v>256</v>
      </c>
      <c r="D538" t="s">
        <v>85</v>
      </c>
      <c r="E538" t="s">
        <v>130</v>
      </c>
      <c r="F538" t="s">
        <v>131</v>
      </c>
      <c r="G538" t="s">
        <v>132</v>
      </c>
      <c r="H538" t="s">
        <v>33</v>
      </c>
      <c r="I538" t="s">
        <v>68</v>
      </c>
      <c r="J538" t="s">
        <v>133</v>
      </c>
      <c r="K538" t="s">
        <v>62</v>
      </c>
      <c r="L538">
        <v>2</v>
      </c>
      <c r="M538">
        <v>855</v>
      </c>
      <c r="N538">
        <v>5</v>
      </c>
      <c r="O538">
        <v>131.29</v>
      </c>
    </row>
    <row r="539" spans="1:15" x14ac:dyDescent="0.3">
      <c r="A539" t="s">
        <v>960</v>
      </c>
      <c r="B539" t="s">
        <v>84</v>
      </c>
      <c r="C539" t="s">
        <v>739</v>
      </c>
      <c r="D539" t="s">
        <v>80</v>
      </c>
      <c r="E539" t="s">
        <v>119</v>
      </c>
      <c r="F539" t="s">
        <v>31</v>
      </c>
      <c r="G539" t="s">
        <v>120</v>
      </c>
      <c r="H539" t="s">
        <v>40</v>
      </c>
      <c r="I539" t="s">
        <v>41</v>
      </c>
      <c r="J539" t="s">
        <v>42</v>
      </c>
      <c r="K539" t="s">
        <v>43</v>
      </c>
      <c r="L539">
        <v>5</v>
      </c>
      <c r="M539">
        <v>38250</v>
      </c>
      <c r="N539">
        <v>10</v>
      </c>
      <c r="O539">
        <v>6105.06</v>
      </c>
    </row>
    <row r="540" spans="1:15" x14ac:dyDescent="0.3">
      <c r="A540" t="s">
        <v>961</v>
      </c>
      <c r="B540" t="s">
        <v>793</v>
      </c>
      <c r="C540" t="s">
        <v>962</v>
      </c>
      <c r="D540" t="s">
        <v>80</v>
      </c>
      <c r="E540" t="s">
        <v>106</v>
      </c>
      <c r="F540" t="s">
        <v>20</v>
      </c>
      <c r="G540" t="s">
        <v>49</v>
      </c>
      <c r="H540" t="s">
        <v>33</v>
      </c>
      <c r="I540" t="s">
        <v>68</v>
      </c>
      <c r="J540" t="s">
        <v>69</v>
      </c>
      <c r="K540" t="s">
        <v>62</v>
      </c>
      <c r="L540">
        <v>2</v>
      </c>
      <c r="M540">
        <v>4180</v>
      </c>
      <c r="N540">
        <v>5</v>
      </c>
      <c r="O540">
        <v>765.53</v>
      </c>
    </row>
    <row r="541" spans="1:15" x14ac:dyDescent="0.3">
      <c r="A541" t="s">
        <v>963</v>
      </c>
      <c r="B541" t="s">
        <v>580</v>
      </c>
      <c r="C541" t="s">
        <v>463</v>
      </c>
      <c r="D541" t="s">
        <v>73</v>
      </c>
      <c r="E541" t="s">
        <v>19</v>
      </c>
      <c r="F541" t="s">
        <v>20</v>
      </c>
      <c r="G541" t="s">
        <v>21</v>
      </c>
      <c r="H541" t="s">
        <v>22</v>
      </c>
      <c r="I541" t="s">
        <v>23</v>
      </c>
      <c r="J541" t="s">
        <v>24</v>
      </c>
      <c r="K541" t="s">
        <v>43</v>
      </c>
      <c r="L541">
        <v>1</v>
      </c>
      <c r="M541">
        <v>46750</v>
      </c>
      <c r="N541">
        <v>15</v>
      </c>
      <c r="O541">
        <v>3793.92</v>
      </c>
    </row>
    <row r="542" spans="1:15" x14ac:dyDescent="0.3">
      <c r="A542" t="s">
        <v>964</v>
      </c>
      <c r="B542" t="s">
        <v>168</v>
      </c>
      <c r="C542" t="s">
        <v>27</v>
      </c>
      <c r="D542" t="s">
        <v>98</v>
      </c>
      <c r="E542" t="s">
        <v>19</v>
      </c>
      <c r="F542" t="s">
        <v>20</v>
      </c>
      <c r="G542" t="s">
        <v>21</v>
      </c>
      <c r="H542" t="s">
        <v>59</v>
      </c>
      <c r="I542" t="s">
        <v>60</v>
      </c>
      <c r="J542" t="s">
        <v>61</v>
      </c>
      <c r="K542" t="s">
        <v>62</v>
      </c>
      <c r="L542">
        <v>3</v>
      </c>
      <c r="M542">
        <v>165000</v>
      </c>
      <c r="N542">
        <v>0</v>
      </c>
      <c r="O542">
        <v>14785.31</v>
      </c>
    </row>
    <row r="543" spans="1:15" x14ac:dyDescent="0.3">
      <c r="A543" t="s">
        <v>965</v>
      </c>
      <c r="B543" t="s">
        <v>381</v>
      </c>
      <c r="C543" t="s">
        <v>621</v>
      </c>
      <c r="D543" t="s">
        <v>29</v>
      </c>
      <c r="E543" t="s">
        <v>113</v>
      </c>
      <c r="F543" t="s">
        <v>114</v>
      </c>
      <c r="G543" t="s">
        <v>115</v>
      </c>
      <c r="H543" t="s">
        <v>59</v>
      </c>
      <c r="I543" t="s">
        <v>93</v>
      </c>
      <c r="J543" t="s">
        <v>94</v>
      </c>
      <c r="K543" t="s">
        <v>43</v>
      </c>
      <c r="L543">
        <v>4</v>
      </c>
      <c r="M543">
        <v>5760</v>
      </c>
      <c r="N543">
        <v>20</v>
      </c>
      <c r="O543">
        <v>1180.75</v>
      </c>
    </row>
    <row r="544" spans="1:15" x14ac:dyDescent="0.3">
      <c r="A544" t="s">
        <v>966</v>
      </c>
      <c r="B544" t="s">
        <v>173</v>
      </c>
      <c r="C544" t="s">
        <v>174</v>
      </c>
      <c r="D544" t="s">
        <v>73</v>
      </c>
      <c r="E544" t="s">
        <v>130</v>
      </c>
      <c r="F544" t="s">
        <v>131</v>
      </c>
      <c r="G544" t="s">
        <v>132</v>
      </c>
      <c r="H544" t="s">
        <v>33</v>
      </c>
      <c r="I544" t="s">
        <v>34</v>
      </c>
      <c r="J544" t="s">
        <v>35</v>
      </c>
      <c r="K544" t="s">
        <v>81</v>
      </c>
      <c r="L544">
        <v>1</v>
      </c>
      <c r="M544">
        <v>382.5</v>
      </c>
      <c r="N544">
        <v>15</v>
      </c>
      <c r="O544">
        <v>34.92</v>
      </c>
    </row>
    <row r="545" spans="1:15" x14ac:dyDescent="0.3">
      <c r="A545" t="s">
        <v>967</v>
      </c>
      <c r="B545" t="s">
        <v>204</v>
      </c>
      <c r="C545" t="s">
        <v>168</v>
      </c>
      <c r="D545" t="s">
        <v>39</v>
      </c>
      <c r="E545" t="s">
        <v>106</v>
      </c>
      <c r="F545" t="s">
        <v>20</v>
      </c>
      <c r="G545" t="s">
        <v>49</v>
      </c>
      <c r="H545" t="s">
        <v>59</v>
      </c>
      <c r="I545" t="s">
        <v>93</v>
      </c>
      <c r="J545" t="s">
        <v>94</v>
      </c>
      <c r="K545" t="s">
        <v>62</v>
      </c>
      <c r="L545">
        <v>1</v>
      </c>
      <c r="M545">
        <v>2090</v>
      </c>
      <c r="N545">
        <v>5</v>
      </c>
      <c r="O545">
        <v>427.34</v>
      </c>
    </row>
    <row r="546" spans="1:15" x14ac:dyDescent="0.3">
      <c r="A546" t="s">
        <v>968</v>
      </c>
      <c r="B546" t="s">
        <v>64</v>
      </c>
      <c r="C546" t="s">
        <v>237</v>
      </c>
      <c r="D546" t="s">
        <v>29</v>
      </c>
      <c r="E546" t="s">
        <v>66</v>
      </c>
      <c r="F546" t="s">
        <v>20</v>
      </c>
      <c r="G546" t="s">
        <v>67</v>
      </c>
      <c r="H546" t="s">
        <v>59</v>
      </c>
      <c r="I546" t="s">
        <v>93</v>
      </c>
      <c r="J546" t="s">
        <v>94</v>
      </c>
      <c r="K546" t="s">
        <v>43</v>
      </c>
      <c r="L546">
        <v>1</v>
      </c>
      <c r="M546">
        <v>10200</v>
      </c>
      <c r="N546">
        <v>15</v>
      </c>
      <c r="O546">
        <v>2102.4499999999998</v>
      </c>
    </row>
    <row r="547" spans="1:15" x14ac:dyDescent="0.3">
      <c r="A547" t="s">
        <v>969</v>
      </c>
      <c r="B547" t="s">
        <v>46</v>
      </c>
      <c r="C547" t="s">
        <v>474</v>
      </c>
      <c r="D547" t="s">
        <v>98</v>
      </c>
      <c r="E547" t="s">
        <v>56</v>
      </c>
      <c r="F547" t="s">
        <v>57</v>
      </c>
      <c r="G547" t="s">
        <v>58</v>
      </c>
      <c r="H547" t="s">
        <v>59</v>
      </c>
      <c r="I547" t="s">
        <v>93</v>
      </c>
      <c r="J547" t="s">
        <v>94</v>
      </c>
      <c r="K547" t="s">
        <v>81</v>
      </c>
      <c r="L547">
        <v>2</v>
      </c>
      <c r="M547">
        <v>700</v>
      </c>
      <c r="N547">
        <v>0</v>
      </c>
      <c r="O547">
        <v>112.16</v>
      </c>
    </row>
    <row r="548" spans="1:15" x14ac:dyDescent="0.3">
      <c r="A548" t="s">
        <v>970</v>
      </c>
      <c r="B548" t="s">
        <v>278</v>
      </c>
      <c r="C548" t="s">
        <v>177</v>
      </c>
      <c r="D548" t="s">
        <v>55</v>
      </c>
      <c r="E548" t="s">
        <v>89</v>
      </c>
      <c r="F548" t="s">
        <v>20</v>
      </c>
      <c r="G548" t="s">
        <v>49</v>
      </c>
      <c r="H548" t="s">
        <v>40</v>
      </c>
      <c r="I548" t="s">
        <v>41</v>
      </c>
      <c r="J548" t="s">
        <v>42</v>
      </c>
      <c r="K548" t="s">
        <v>62</v>
      </c>
      <c r="L548">
        <v>2</v>
      </c>
      <c r="M548">
        <v>1620</v>
      </c>
      <c r="N548">
        <v>10</v>
      </c>
      <c r="O548">
        <v>347.88</v>
      </c>
    </row>
    <row r="549" spans="1:15" x14ac:dyDescent="0.3">
      <c r="A549" t="s">
        <v>971</v>
      </c>
      <c r="B549" t="s">
        <v>37</v>
      </c>
      <c r="C549" t="s">
        <v>378</v>
      </c>
      <c r="D549" t="s">
        <v>73</v>
      </c>
      <c r="E549" t="s">
        <v>56</v>
      </c>
      <c r="F549" t="s">
        <v>57</v>
      </c>
      <c r="G549" t="s">
        <v>58</v>
      </c>
      <c r="H549" t="s">
        <v>59</v>
      </c>
      <c r="I549" t="s">
        <v>93</v>
      </c>
      <c r="J549" t="s">
        <v>94</v>
      </c>
      <c r="K549" t="s">
        <v>43</v>
      </c>
      <c r="L549">
        <v>4</v>
      </c>
      <c r="M549">
        <v>1260</v>
      </c>
      <c r="N549">
        <v>10</v>
      </c>
      <c r="O549">
        <v>182.9</v>
      </c>
    </row>
    <row r="550" spans="1:15" x14ac:dyDescent="0.3">
      <c r="A550" t="s">
        <v>972</v>
      </c>
      <c r="B550" t="s">
        <v>422</v>
      </c>
      <c r="C550" t="s">
        <v>285</v>
      </c>
      <c r="D550" t="s">
        <v>47</v>
      </c>
      <c r="E550" t="s">
        <v>130</v>
      </c>
      <c r="F550" t="s">
        <v>131</v>
      </c>
      <c r="G550" t="s">
        <v>132</v>
      </c>
      <c r="H550" t="s">
        <v>22</v>
      </c>
      <c r="I550" t="s">
        <v>155</v>
      </c>
      <c r="J550" t="s">
        <v>156</v>
      </c>
      <c r="K550" t="s">
        <v>81</v>
      </c>
      <c r="L550">
        <v>5</v>
      </c>
      <c r="M550">
        <v>1912.5</v>
      </c>
      <c r="N550">
        <v>15</v>
      </c>
      <c r="O550">
        <v>205.23</v>
      </c>
    </row>
    <row r="551" spans="1:15" x14ac:dyDescent="0.3">
      <c r="A551" t="s">
        <v>973</v>
      </c>
      <c r="B551" t="s">
        <v>409</v>
      </c>
      <c r="C551" t="s">
        <v>183</v>
      </c>
      <c r="D551" t="s">
        <v>80</v>
      </c>
      <c r="E551" t="s">
        <v>106</v>
      </c>
      <c r="F551" t="s">
        <v>20</v>
      </c>
      <c r="G551" t="s">
        <v>49</v>
      </c>
      <c r="H551" t="s">
        <v>33</v>
      </c>
      <c r="I551" t="s">
        <v>68</v>
      </c>
      <c r="J551" t="s">
        <v>133</v>
      </c>
      <c r="K551" t="s">
        <v>43</v>
      </c>
      <c r="L551">
        <v>4</v>
      </c>
      <c r="M551">
        <v>8360</v>
      </c>
      <c r="N551">
        <v>5</v>
      </c>
      <c r="O551">
        <v>851.72</v>
      </c>
    </row>
    <row r="552" spans="1:15" x14ac:dyDescent="0.3">
      <c r="A552" t="s">
        <v>974</v>
      </c>
      <c r="B552" t="s">
        <v>878</v>
      </c>
      <c r="C552" t="s">
        <v>173</v>
      </c>
      <c r="D552" t="s">
        <v>55</v>
      </c>
      <c r="E552" t="s">
        <v>56</v>
      </c>
      <c r="F552" t="s">
        <v>57</v>
      </c>
      <c r="G552" t="s">
        <v>58</v>
      </c>
      <c r="H552" t="s">
        <v>40</v>
      </c>
      <c r="I552" t="s">
        <v>50</v>
      </c>
      <c r="J552" t="s">
        <v>51</v>
      </c>
      <c r="K552" t="s">
        <v>25</v>
      </c>
      <c r="L552">
        <v>2</v>
      </c>
      <c r="M552">
        <v>630</v>
      </c>
      <c r="N552">
        <v>10</v>
      </c>
      <c r="O552">
        <v>69.23</v>
      </c>
    </row>
    <row r="553" spans="1:15" x14ac:dyDescent="0.3">
      <c r="A553" t="s">
        <v>975</v>
      </c>
      <c r="B553" t="s">
        <v>340</v>
      </c>
      <c r="C553" t="s">
        <v>27</v>
      </c>
      <c r="D553" t="s">
        <v>102</v>
      </c>
      <c r="E553" t="s">
        <v>106</v>
      </c>
      <c r="F553" t="s">
        <v>20</v>
      </c>
      <c r="G553" t="s">
        <v>49</v>
      </c>
      <c r="H553" t="s">
        <v>59</v>
      </c>
      <c r="I553" t="s">
        <v>93</v>
      </c>
      <c r="J553" t="s">
        <v>94</v>
      </c>
      <c r="K553" t="s">
        <v>81</v>
      </c>
      <c r="L553">
        <v>4</v>
      </c>
      <c r="M553">
        <v>7920</v>
      </c>
      <c r="N553">
        <v>10</v>
      </c>
      <c r="O553">
        <v>1385.22</v>
      </c>
    </row>
    <row r="554" spans="1:15" x14ac:dyDescent="0.3">
      <c r="A554" t="s">
        <v>976</v>
      </c>
      <c r="B554" t="s">
        <v>881</v>
      </c>
      <c r="C554" t="s">
        <v>142</v>
      </c>
      <c r="D554" t="s">
        <v>18</v>
      </c>
      <c r="E554" t="s">
        <v>30</v>
      </c>
      <c r="F554" t="s">
        <v>31</v>
      </c>
      <c r="G554" t="s">
        <v>32</v>
      </c>
      <c r="H554" t="s">
        <v>22</v>
      </c>
      <c r="I554" t="s">
        <v>23</v>
      </c>
      <c r="J554" t="s">
        <v>24</v>
      </c>
      <c r="K554" t="s">
        <v>25</v>
      </c>
      <c r="L554">
        <v>4</v>
      </c>
      <c r="M554">
        <v>26000</v>
      </c>
      <c r="N554">
        <v>0</v>
      </c>
      <c r="O554">
        <v>3777.75</v>
      </c>
    </row>
    <row r="555" spans="1:15" x14ac:dyDescent="0.3">
      <c r="A555" t="s">
        <v>977</v>
      </c>
      <c r="B555" t="s">
        <v>422</v>
      </c>
      <c r="C555" t="s">
        <v>691</v>
      </c>
      <c r="D555" t="s">
        <v>85</v>
      </c>
      <c r="E555" t="s">
        <v>89</v>
      </c>
      <c r="F555" t="s">
        <v>20</v>
      </c>
      <c r="G555" t="s">
        <v>49</v>
      </c>
      <c r="H555" t="s">
        <v>22</v>
      </c>
      <c r="I555" t="s">
        <v>155</v>
      </c>
      <c r="J555" t="s">
        <v>156</v>
      </c>
      <c r="K555" t="s">
        <v>81</v>
      </c>
      <c r="L555">
        <v>3</v>
      </c>
      <c r="M555">
        <v>2565</v>
      </c>
      <c r="N555">
        <v>5</v>
      </c>
      <c r="O555">
        <v>533.25</v>
      </c>
    </row>
    <row r="556" spans="1:15" x14ac:dyDescent="0.3">
      <c r="A556" t="s">
        <v>978</v>
      </c>
      <c r="B556" t="s">
        <v>299</v>
      </c>
      <c r="C556" t="s">
        <v>28</v>
      </c>
      <c r="D556" t="s">
        <v>47</v>
      </c>
      <c r="E556" t="s">
        <v>119</v>
      </c>
      <c r="F556" t="s">
        <v>31</v>
      </c>
      <c r="G556" t="s">
        <v>120</v>
      </c>
      <c r="H556" t="s">
        <v>40</v>
      </c>
      <c r="I556" t="s">
        <v>50</v>
      </c>
      <c r="J556" t="s">
        <v>51</v>
      </c>
      <c r="K556" t="s">
        <v>62</v>
      </c>
      <c r="L556">
        <v>2</v>
      </c>
      <c r="M556">
        <v>17000</v>
      </c>
      <c r="N556">
        <v>0</v>
      </c>
      <c r="O556">
        <v>1862.41</v>
      </c>
    </row>
    <row r="557" spans="1:15" x14ac:dyDescent="0.3">
      <c r="A557" t="s">
        <v>979</v>
      </c>
      <c r="B557" t="s">
        <v>422</v>
      </c>
      <c r="C557" t="s">
        <v>272</v>
      </c>
      <c r="D557" t="s">
        <v>29</v>
      </c>
      <c r="E557" t="s">
        <v>66</v>
      </c>
      <c r="F557" t="s">
        <v>20</v>
      </c>
      <c r="G557" t="s">
        <v>67</v>
      </c>
      <c r="H557" t="s">
        <v>59</v>
      </c>
      <c r="I557" t="s">
        <v>60</v>
      </c>
      <c r="J557" t="s">
        <v>61</v>
      </c>
      <c r="K557" t="s">
        <v>25</v>
      </c>
      <c r="L557">
        <v>2</v>
      </c>
      <c r="M557">
        <v>22800</v>
      </c>
      <c r="N557">
        <v>5</v>
      </c>
      <c r="O557">
        <v>3219.33</v>
      </c>
    </row>
    <row r="558" spans="1:15" x14ac:dyDescent="0.3">
      <c r="A558" t="s">
        <v>980</v>
      </c>
      <c r="B558" t="s">
        <v>445</v>
      </c>
      <c r="C558" t="s">
        <v>841</v>
      </c>
      <c r="D558" t="s">
        <v>85</v>
      </c>
      <c r="E558" t="s">
        <v>66</v>
      </c>
      <c r="F558" t="s">
        <v>20</v>
      </c>
      <c r="G558" t="s">
        <v>67</v>
      </c>
      <c r="H558" t="s">
        <v>40</v>
      </c>
      <c r="I558" t="s">
        <v>41</v>
      </c>
      <c r="J558" t="s">
        <v>42</v>
      </c>
      <c r="K558" t="s">
        <v>81</v>
      </c>
      <c r="L558">
        <v>2</v>
      </c>
      <c r="M558">
        <v>20400</v>
      </c>
      <c r="N558">
        <v>15</v>
      </c>
      <c r="O558">
        <v>3322.76</v>
      </c>
    </row>
    <row r="559" spans="1:15" x14ac:dyDescent="0.3">
      <c r="A559" t="s">
        <v>981</v>
      </c>
      <c r="B559" t="s">
        <v>243</v>
      </c>
      <c r="C559" t="s">
        <v>139</v>
      </c>
      <c r="D559" t="s">
        <v>102</v>
      </c>
      <c r="E559" t="s">
        <v>106</v>
      </c>
      <c r="F559" t="s">
        <v>20</v>
      </c>
      <c r="G559" t="s">
        <v>49</v>
      </c>
      <c r="H559" t="s">
        <v>59</v>
      </c>
      <c r="I559" t="s">
        <v>93</v>
      </c>
      <c r="J559" t="s">
        <v>94</v>
      </c>
      <c r="K559" t="s">
        <v>81</v>
      </c>
      <c r="L559">
        <v>3</v>
      </c>
      <c r="M559">
        <v>5940</v>
      </c>
      <c r="N559">
        <v>10</v>
      </c>
      <c r="O559">
        <v>1021.98</v>
      </c>
    </row>
    <row r="560" spans="1:15" x14ac:dyDescent="0.3">
      <c r="A560" t="s">
        <v>982</v>
      </c>
      <c r="B560" t="s">
        <v>223</v>
      </c>
      <c r="C560" t="s">
        <v>215</v>
      </c>
      <c r="D560" t="s">
        <v>80</v>
      </c>
      <c r="E560" t="s">
        <v>113</v>
      </c>
      <c r="F560" t="s">
        <v>114</v>
      </c>
      <c r="G560" t="s">
        <v>115</v>
      </c>
      <c r="H560" t="s">
        <v>33</v>
      </c>
      <c r="I560" t="s">
        <v>68</v>
      </c>
      <c r="J560" t="s">
        <v>133</v>
      </c>
      <c r="K560" t="s">
        <v>43</v>
      </c>
      <c r="L560">
        <v>2</v>
      </c>
      <c r="M560">
        <v>3060</v>
      </c>
      <c r="N560">
        <v>15</v>
      </c>
      <c r="O560">
        <v>668.03</v>
      </c>
    </row>
    <row r="561" spans="1:15" x14ac:dyDescent="0.3">
      <c r="A561" t="s">
        <v>983</v>
      </c>
      <c r="B561" t="s">
        <v>440</v>
      </c>
      <c r="C561" t="s">
        <v>291</v>
      </c>
      <c r="D561" t="s">
        <v>47</v>
      </c>
      <c r="E561" t="s">
        <v>30</v>
      </c>
      <c r="F561" t="s">
        <v>31</v>
      </c>
      <c r="G561" t="s">
        <v>32</v>
      </c>
      <c r="H561" t="s">
        <v>33</v>
      </c>
      <c r="I561" t="s">
        <v>68</v>
      </c>
      <c r="J561" t="s">
        <v>133</v>
      </c>
      <c r="K561" t="s">
        <v>25</v>
      </c>
      <c r="L561">
        <v>2</v>
      </c>
      <c r="M561">
        <v>10400</v>
      </c>
      <c r="N561">
        <v>20</v>
      </c>
      <c r="O561">
        <v>988.06</v>
      </c>
    </row>
    <row r="562" spans="1:15" x14ac:dyDescent="0.3">
      <c r="A562" t="s">
        <v>984</v>
      </c>
      <c r="B562" t="s">
        <v>176</v>
      </c>
      <c r="C562" t="s">
        <v>177</v>
      </c>
      <c r="D562" t="s">
        <v>29</v>
      </c>
      <c r="E562" t="s">
        <v>119</v>
      </c>
      <c r="F562" t="s">
        <v>31</v>
      </c>
      <c r="G562" t="s">
        <v>120</v>
      </c>
      <c r="H562" t="s">
        <v>22</v>
      </c>
      <c r="I562" t="s">
        <v>23</v>
      </c>
      <c r="J562" t="s">
        <v>24</v>
      </c>
      <c r="K562" t="s">
        <v>43</v>
      </c>
      <c r="L562">
        <v>5</v>
      </c>
      <c r="M562">
        <v>34000</v>
      </c>
      <c r="N562">
        <v>20</v>
      </c>
      <c r="O562">
        <v>5378.34</v>
      </c>
    </row>
    <row r="563" spans="1:15" x14ac:dyDescent="0.3">
      <c r="A563" t="s">
        <v>985</v>
      </c>
      <c r="B563" t="s">
        <v>228</v>
      </c>
      <c r="C563" t="s">
        <v>229</v>
      </c>
      <c r="D563" t="s">
        <v>98</v>
      </c>
      <c r="E563" t="s">
        <v>130</v>
      </c>
      <c r="F563" t="s">
        <v>131</v>
      </c>
      <c r="G563" t="s">
        <v>132</v>
      </c>
      <c r="H563" t="s">
        <v>59</v>
      </c>
      <c r="I563" t="s">
        <v>60</v>
      </c>
      <c r="J563" t="s">
        <v>61</v>
      </c>
      <c r="K563" t="s">
        <v>62</v>
      </c>
      <c r="L563">
        <v>4</v>
      </c>
      <c r="M563">
        <v>1530</v>
      </c>
      <c r="N563">
        <v>15</v>
      </c>
      <c r="O563">
        <v>307.74</v>
      </c>
    </row>
    <row r="564" spans="1:15" x14ac:dyDescent="0.3">
      <c r="A564" t="s">
        <v>986</v>
      </c>
      <c r="B564" t="s">
        <v>272</v>
      </c>
      <c r="C564" t="s">
        <v>466</v>
      </c>
      <c r="D564" t="s">
        <v>47</v>
      </c>
      <c r="E564" t="s">
        <v>66</v>
      </c>
      <c r="F564" t="s">
        <v>20</v>
      </c>
      <c r="G564" t="s">
        <v>67</v>
      </c>
      <c r="H564" t="s">
        <v>59</v>
      </c>
      <c r="I564" t="s">
        <v>93</v>
      </c>
      <c r="J564" t="s">
        <v>94</v>
      </c>
      <c r="K564" t="s">
        <v>62</v>
      </c>
      <c r="L564">
        <v>4</v>
      </c>
      <c r="M564">
        <v>43200</v>
      </c>
      <c r="N564">
        <v>10</v>
      </c>
      <c r="O564">
        <v>6663.24</v>
      </c>
    </row>
    <row r="565" spans="1:15" x14ac:dyDescent="0.3">
      <c r="A565" t="s">
        <v>987</v>
      </c>
      <c r="B565" t="s">
        <v>837</v>
      </c>
      <c r="C565" t="s">
        <v>88</v>
      </c>
      <c r="D565" t="s">
        <v>85</v>
      </c>
      <c r="E565" t="s">
        <v>48</v>
      </c>
      <c r="F565" t="s">
        <v>20</v>
      </c>
      <c r="G565" t="s">
        <v>49</v>
      </c>
      <c r="H565" t="s">
        <v>22</v>
      </c>
      <c r="I565" t="s">
        <v>155</v>
      </c>
      <c r="J565" t="s">
        <v>156</v>
      </c>
      <c r="K565" t="s">
        <v>81</v>
      </c>
      <c r="L565">
        <v>2</v>
      </c>
      <c r="M565">
        <v>2550</v>
      </c>
      <c r="N565">
        <v>15</v>
      </c>
      <c r="O565">
        <v>351.24</v>
      </c>
    </row>
    <row r="566" spans="1:15" x14ac:dyDescent="0.3">
      <c r="A566" t="s">
        <v>988</v>
      </c>
      <c r="B566" t="s">
        <v>557</v>
      </c>
      <c r="C566" t="s">
        <v>765</v>
      </c>
      <c r="D566" t="s">
        <v>55</v>
      </c>
      <c r="E566" t="s">
        <v>19</v>
      </c>
      <c r="F566" t="s">
        <v>20</v>
      </c>
      <c r="G566" t="s">
        <v>21</v>
      </c>
      <c r="H566" t="s">
        <v>33</v>
      </c>
      <c r="I566" t="s">
        <v>34</v>
      </c>
      <c r="J566" t="s">
        <v>35</v>
      </c>
      <c r="K566" t="s">
        <v>25</v>
      </c>
      <c r="L566">
        <v>3</v>
      </c>
      <c r="M566">
        <v>148500</v>
      </c>
      <c r="N566">
        <v>10</v>
      </c>
      <c r="O566">
        <v>16763.2</v>
      </c>
    </row>
    <row r="567" spans="1:15" x14ac:dyDescent="0.3">
      <c r="A567" t="s">
        <v>989</v>
      </c>
      <c r="B567" t="s">
        <v>665</v>
      </c>
      <c r="C567" t="s">
        <v>297</v>
      </c>
      <c r="D567" t="s">
        <v>18</v>
      </c>
      <c r="E567" t="s">
        <v>19</v>
      </c>
      <c r="F567" t="s">
        <v>20</v>
      </c>
      <c r="G567" t="s">
        <v>21</v>
      </c>
      <c r="H567" t="s">
        <v>59</v>
      </c>
      <c r="I567" t="s">
        <v>93</v>
      </c>
      <c r="J567" t="s">
        <v>94</v>
      </c>
      <c r="K567" t="s">
        <v>81</v>
      </c>
      <c r="L567">
        <v>5</v>
      </c>
      <c r="M567">
        <v>233750</v>
      </c>
      <c r="N567">
        <v>15</v>
      </c>
      <c r="O567">
        <v>35094.879999999997</v>
      </c>
    </row>
    <row r="568" spans="1:15" x14ac:dyDescent="0.3">
      <c r="A568" t="s">
        <v>990</v>
      </c>
      <c r="B568" t="s">
        <v>208</v>
      </c>
      <c r="C568" t="s">
        <v>218</v>
      </c>
      <c r="D568" t="s">
        <v>47</v>
      </c>
      <c r="E568" t="s">
        <v>30</v>
      </c>
      <c r="F568" t="s">
        <v>31</v>
      </c>
      <c r="G568" t="s">
        <v>32</v>
      </c>
      <c r="H568" t="s">
        <v>59</v>
      </c>
      <c r="I568" t="s">
        <v>60</v>
      </c>
      <c r="J568" t="s">
        <v>61</v>
      </c>
      <c r="K568" t="s">
        <v>81</v>
      </c>
      <c r="L568">
        <v>4</v>
      </c>
      <c r="M568">
        <v>24700</v>
      </c>
      <c r="N568">
        <v>5</v>
      </c>
      <c r="O568">
        <v>4862.2700000000004</v>
      </c>
    </row>
    <row r="569" spans="1:15" x14ac:dyDescent="0.3">
      <c r="A569" t="s">
        <v>991</v>
      </c>
      <c r="B569" t="s">
        <v>476</v>
      </c>
      <c r="C569" t="s">
        <v>79</v>
      </c>
      <c r="D569" t="s">
        <v>29</v>
      </c>
      <c r="E569" t="s">
        <v>48</v>
      </c>
      <c r="F569" t="s">
        <v>20</v>
      </c>
      <c r="G569" t="s">
        <v>49</v>
      </c>
      <c r="H569" t="s">
        <v>22</v>
      </c>
      <c r="I569" t="s">
        <v>155</v>
      </c>
      <c r="J569" t="s">
        <v>156</v>
      </c>
      <c r="K569" t="s">
        <v>25</v>
      </c>
      <c r="L569">
        <v>1</v>
      </c>
      <c r="M569">
        <v>1425</v>
      </c>
      <c r="N569">
        <v>5</v>
      </c>
      <c r="O569">
        <v>179.43</v>
      </c>
    </row>
    <row r="570" spans="1:15" x14ac:dyDescent="0.3">
      <c r="A570" t="s">
        <v>992</v>
      </c>
      <c r="B570" t="s">
        <v>758</v>
      </c>
      <c r="C570" t="s">
        <v>158</v>
      </c>
      <c r="D570" t="s">
        <v>18</v>
      </c>
      <c r="E570" t="s">
        <v>30</v>
      </c>
      <c r="F570" t="s">
        <v>31</v>
      </c>
      <c r="G570" t="s">
        <v>32</v>
      </c>
      <c r="H570" t="s">
        <v>59</v>
      </c>
      <c r="I570" t="s">
        <v>60</v>
      </c>
      <c r="J570" t="s">
        <v>61</v>
      </c>
      <c r="K570" t="s">
        <v>62</v>
      </c>
      <c r="L570">
        <v>1</v>
      </c>
      <c r="M570">
        <v>6175</v>
      </c>
      <c r="N570">
        <v>5</v>
      </c>
      <c r="O570">
        <v>974.78</v>
      </c>
    </row>
    <row r="571" spans="1:15" x14ac:dyDescent="0.3">
      <c r="A571" t="s">
        <v>993</v>
      </c>
      <c r="B571" t="s">
        <v>360</v>
      </c>
      <c r="C571" t="s">
        <v>174</v>
      </c>
      <c r="D571" t="s">
        <v>29</v>
      </c>
      <c r="E571" t="s">
        <v>66</v>
      </c>
      <c r="F571" t="s">
        <v>20</v>
      </c>
      <c r="G571" t="s">
        <v>67</v>
      </c>
      <c r="H571" t="s">
        <v>59</v>
      </c>
      <c r="I571" t="s">
        <v>60</v>
      </c>
      <c r="J571" t="s">
        <v>61</v>
      </c>
      <c r="K571" t="s">
        <v>25</v>
      </c>
      <c r="L571">
        <v>2</v>
      </c>
      <c r="M571">
        <v>24000</v>
      </c>
      <c r="N571">
        <v>0</v>
      </c>
      <c r="O571">
        <v>2381.1799999999998</v>
      </c>
    </row>
    <row r="572" spans="1:15" x14ac:dyDescent="0.3">
      <c r="A572" t="s">
        <v>994</v>
      </c>
      <c r="B572" t="s">
        <v>222</v>
      </c>
      <c r="C572" t="s">
        <v>117</v>
      </c>
      <c r="D572" t="s">
        <v>73</v>
      </c>
      <c r="E572" t="s">
        <v>30</v>
      </c>
      <c r="F572" t="s">
        <v>31</v>
      </c>
      <c r="G572" t="s">
        <v>32</v>
      </c>
      <c r="H572" t="s">
        <v>22</v>
      </c>
      <c r="I572" t="s">
        <v>155</v>
      </c>
      <c r="J572" t="s">
        <v>156</v>
      </c>
      <c r="K572" t="s">
        <v>81</v>
      </c>
      <c r="L572">
        <v>1</v>
      </c>
      <c r="M572">
        <v>5200</v>
      </c>
      <c r="N572">
        <v>20</v>
      </c>
      <c r="O572">
        <v>552.35</v>
      </c>
    </row>
    <row r="573" spans="1:15" x14ac:dyDescent="0.3">
      <c r="A573" t="s">
        <v>995</v>
      </c>
      <c r="B573" t="s">
        <v>126</v>
      </c>
      <c r="C573" t="s">
        <v>46</v>
      </c>
      <c r="D573" t="s">
        <v>80</v>
      </c>
      <c r="E573" t="s">
        <v>48</v>
      </c>
      <c r="F573" t="s">
        <v>20</v>
      </c>
      <c r="G573" t="s">
        <v>49</v>
      </c>
      <c r="H573" t="s">
        <v>59</v>
      </c>
      <c r="I573" t="s">
        <v>93</v>
      </c>
      <c r="J573" t="s">
        <v>94</v>
      </c>
      <c r="K573" t="s">
        <v>81</v>
      </c>
      <c r="L573">
        <v>1</v>
      </c>
      <c r="M573">
        <v>1500</v>
      </c>
      <c r="N573">
        <v>0</v>
      </c>
      <c r="O573">
        <v>279.99</v>
      </c>
    </row>
    <row r="574" spans="1:15" x14ac:dyDescent="0.3">
      <c r="A574" t="s">
        <v>996</v>
      </c>
      <c r="B574" t="s">
        <v>547</v>
      </c>
      <c r="C574" t="s">
        <v>488</v>
      </c>
      <c r="D574" t="s">
        <v>18</v>
      </c>
      <c r="E574" t="s">
        <v>66</v>
      </c>
      <c r="F574" t="s">
        <v>20</v>
      </c>
      <c r="G574" t="s">
        <v>67</v>
      </c>
      <c r="H574" t="s">
        <v>22</v>
      </c>
      <c r="I574" t="s">
        <v>23</v>
      </c>
      <c r="J574" t="s">
        <v>24</v>
      </c>
      <c r="K574" t="s">
        <v>62</v>
      </c>
      <c r="L574">
        <v>4</v>
      </c>
      <c r="M574">
        <v>48000</v>
      </c>
      <c r="N574">
        <v>0</v>
      </c>
      <c r="O574">
        <v>4212.3999999999996</v>
      </c>
    </row>
    <row r="575" spans="1:15" x14ac:dyDescent="0.3">
      <c r="A575" t="s">
        <v>997</v>
      </c>
      <c r="B575" t="s">
        <v>104</v>
      </c>
      <c r="C575" t="s">
        <v>358</v>
      </c>
      <c r="D575" t="s">
        <v>55</v>
      </c>
      <c r="E575" t="s">
        <v>119</v>
      </c>
      <c r="F575" t="s">
        <v>31</v>
      </c>
      <c r="G575" t="s">
        <v>120</v>
      </c>
      <c r="H575" t="s">
        <v>33</v>
      </c>
      <c r="I575" t="s">
        <v>68</v>
      </c>
      <c r="J575" t="s">
        <v>133</v>
      </c>
      <c r="K575" t="s">
        <v>25</v>
      </c>
      <c r="L575">
        <v>4</v>
      </c>
      <c r="M575">
        <v>34000</v>
      </c>
      <c r="N575">
        <v>0</v>
      </c>
      <c r="O575">
        <v>4540.67</v>
      </c>
    </row>
    <row r="576" spans="1:15" x14ac:dyDescent="0.3">
      <c r="A576" t="s">
        <v>998</v>
      </c>
      <c r="B576" t="s">
        <v>320</v>
      </c>
      <c r="C576" t="s">
        <v>720</v>
      </c>
      <c r="D576" t="s">
        <v>80</v>
      </c>
      <c r="E576" t="s">
        <v>56</v>
      </c>
      <c r="F576" t="s">
        <v>57</v>
      </c>
      <c r="G576" t="s">
        <v>58</v>
      </c>
      <c r="H576" t="s">
        <v>40</v>
      </c>
      <c r="I576" t="s">
        <v>50</v>
      </c>
      <c r="J576" t="s">
        <v>51</v>
      </c>
      <c r="K576" t="s">
        <v>81</v>
      </c>
      <c r="L576">
        <v>4</v>
      </c>
      <c r="M576">
        <v>1120</v>
      </c>
      <c r="N576">
        <v>20</v>
      </c>
      <c r="O576">
        <v>92.34</v>
      </c>
    </row>
    <row r="577" spans="1:15" x14ac:dyDescent="0.3">
      <c r="A577" t="s">
        <v>999</v>
      </c>
      <c r="B577" t="s">
        <v>245</v>
      </c>
      <c r="C577" t="s">
        <v>170</v>
      </c>
      <c r="D577" t="s">
        <v>85</v>
      </c>
      <c r="E577" t="s">
        <v>113</v>
      </c>
      <c r="F577" t="s">
        <v>114</v>
      </c>
      <c r="G577" t="s">
        <v>115</v>
      </c>
      <c r="H577" t="s">
        <v>40</v>
      </c>
      <c r="I577" t="s">
        <v>50</v>
      </c>
      <c r="J577" t="s">
        <v>51</v>
      </c>
      <c r="K577" t="s">
        <v>62</v>
      </c>
      <c r="L577">
        <v>4</v>
      </c>
      <c r="M577">
        <v>6480</v>
      </c>
      <c r="N577">
        <v>10</v>
      </c>
      <c r="O577">
        <v>871.91</v>
      </c>
    </row>
    <row r="578" spans="1:15" x14ac:dyDescent="0.3">
      <c r="A578" t="s">
        <v>1000</v>
      </c>
      <c r="B578" t="s">
        <v>469</v>
      </c>
      <c r="C578" t="s">
        <v>718</v>
      </c>
      <c r="D578" t="s">
        <v>73</v>
      </c>
      <c r="E578" t="s">
        <v>89</v>
      </c>
      <c r="F578" t="s">
        <v>20</v>
      </c>
      <c r="G578" t="s">
        <v>49</v>
      </c>
      <c r="H578" t="s">
        <v>22</v>
      </c>
      <c r="I578" t="s">
        <v>155</v>
      </c>
      <c r="J578" t="s">
        <v>156</v>
      </c>
      <c r="K578" t="s">
        <v>81</v>
      </c>
      <c r="L578">
        <v>4</v>
      </c>
      <c r="M578">
        <v>3060</v>
      </c>
      <c r="N578">
        <v>15</v>
      </c>
      <c r="O578">
        <v>492.99</v>
      </c>
    </row>
    <row r="579" spans="1:15" x14ac:dyDescent="0.3">
      <c r="A579" t="s">
        <v>1001</v>
      </c>
      <c r="B579" t="s">
        <v>457</v>
      </c>
      <c r="C579" t="s">
        <v>591</v>
      </c>
      <c r="D579" t="s">
        <v>18</v>
      </c>
      <c r="E579" t="s">
        <v>48</v>
      </c>
      <c r="F579" t="s">
        <v>20</v>
      </c>
      <c r="G579" t="s">
        <v>49</v>
      </c>
      <c r="H579" t="s">
        <v>22</v>
      </c>
      <c r="I579" t="s">
        <v>155</v>
      </c>
      <c r="J579" t="s">
        <v>156</v>
      </c>
      <c r="K579" t="s">
        <v>43</v>
      </c>
      <c r="L579">
        <v>1</v>
      </c>
      <c r="M579">
        <v>1500</v>
      </c>
      <c r="N579">
        <v>0</v>
      </c>
      <c r="O579">
        <v>156.33000000000001</v>
      </c>
    </row>
    <row r="580" spans="1:15" x14ac:dyDescent="0.3">
      <c r="A580" t="s">
        <v>1002</v>
      </c>
      <c r="B580" t="s">
        <v>237</v>
      </c>
      <c r="C580" t="s">
        <v>463</v>
      </c>
      <c r="D580" t="s">
        <v>102</v>
      </c>
      <c r="E580" t="s">
        <v>106</v>
      </c>
      <c r="F580" t="s">
        <v>20</v>
      </c>
      <c r="G580" t="s">
        <v>49</v>
      </c>
      <c r="H580" t="s">
        <v>22</v>
      </c>
      <c r="I580" t="s">
        <v>155</v>
      </c>
      <c r="J580" t="s">
        <v>156</v>
      </c>
      <c r="K580" t="s">
        <v>25</v>
      </c>
      <c r="L580">
        <v>4</v>
      </c>
      <c r="M580">
        <v>7480</v>
      </c>
      <c r="N580">
        <v>15</v>
      </c>
      <c r="O580">
        <v>906.61</v>
      </c>
    </row>
    <row r="581" spans="1:15" x14ac:dyDescent="0.3">
      <c r="A581" t="s">
        <v>1003</v>
      </c>
      <c r="B581" t="s">
        <v>469</v>
      </c>
      <c r="C581" t="s">
        <v>128</v>
      </c>
      <c r="D581" t="s">
        <v>39</v>
      </c>
      <c r="E581" t="s">
        <v>119</v>
      </c>
      <c r="F581" t="s">
        <v>31</v>
      </c>
      <c r="G581" t="s">
        <v>120</v>
      </c>
      <c r="H581" t="s">
        <v>33</v>
      </c>
      <c r="I581" t="s">
        <v>68</v>
      </c>
      <c r="J581" t="s">
        <v>69</v>
      </c>
      <c r="K581" t="s">
        <v>81</v>
      </c>
      <c r="L581">
        <v>5</v>
      </c>
      <c r="M581">
        <v>38250</v>
      </c>
      <c r="N581">
        <v>10</v>
      </c>
      <c r="O581">
        <v>6634.71</v>
      </c>
    </row>
    <row r="582" spans="1:15" x14ac:dyDescent="0.3">
      <c r="A582" t="s">
        <v>1004</v>
      </c>
      <c r="B582" t="s">
        <v>311</v>
      </c>
      <c r="C582" t="s">
        <v>497</v>
      </c>
      <c r="D582" t="s">
        <v>39</v>
      </c>
      <c r="E582" t="s">
        <v>48</v>
      </c>
      <c r="F582" t="s">
        <v>20</v>
      </c>
      <c r="G582" t="s">
        <v>49</v>
      </c>
      <c r="H582" t="s">
        <v>40</v>
      </c>
      <c r="I582" t="s">
        <v>41</v>
      </c>
      <c r="J582" t="s">
        <v>42</v>
      </c>
      <c r="K582" t="s">
        <v>43</v>
      </c>
      <c r="L582">
        <v>5</v>
      </c>
      <c r="M582">
        <v>7125</v>
      </c>
      <c r="N582">
        <v>5</v>
      </c>
      <c r="O582">
        <v>858.64</v>
      </c>
    </row>
    <row r="583" spans="1:15" x14ac:dyDescent="0.3">
      <c r="A583" t="s">
        <v>1005</v>
      </c>
      <c r="B583" t="s">
        <v>455</v>
      </c>
      <c r="C583" t="s">
        <v>186</v>
      </c>
      <c r="D583" t="s">
        <v>80</v>
      </c>
      <c r="E583" t="s">
        <v>130</v>
      </c>
      <c r="F583" t="s">
        <v>131</v>
      </c>
      <c r="G583" t="s">
        <v>132</v>
      </c>
      <c r="H583" t="s">
        <v>59</v>
      </c>
      <c r="I583" t="s">
        <v>93</v>
      </c>
      <c r="J583" t="s">
        <v>94</v>
      </c>
      <c r="K583" t="s">
        <v>81</v>
      </c>
      <c r="L583">
        <v>5</v>
      </c>
      <c r="M583">
        <v>1912.5</v>
      </c>
      <c r="N583">
        <v>15</v>
      </c>
      <c r="O583">
        <v>414.05</v>
      </c>
    </row>
    <row r="584" spans="1:15" x14ac:dyDescent="0.3">
      <c r="A584" t="s">
        <v>1006</v>
      </c>
      <c r="B584" t="s">
        <v>283</v>
      </c>
      <c r="C584" t="s">
        <v>139</v>
      </c>
      <c r="D584" t="s">
        <v>73</v>
      </c>
      <c r="E584" t="s">
        <v>48</v>
      </c>
      <c r="F584" t="s">
        <v>20</v>
      </c>
      <c r="G584" t="s">
        <v>49</v>
      </c>
      <c r="H584" t="s">
        <v>59</v>
      </c>
      <c r="I584" t="s">
        <v>93</v>
      </c>
      <c r="J584" t="s">
        <v>94</v>
      </c>
      <c r="K584" t="s">
        <v>25</v>
      </c>
      <c r="L584">
        <v>4</v>
      </c>
      <c r="M584">
        <v>6000</v>
      </c>
      <c r="N584">
        <v>0</v>
      </c>
      <c r="O584">
        <v>1143</v>
      </c>
    </row>
    <row r="585" spans="1:15" x14ac:dyDescent="0.3">
      <c r="A585" t="s">
        <v>1007</v>
      </c>
      <c r="B585" t="s">
        <v>655</v>
      </c>
      <c r="C585" t="s">
        <v>262</v>
      </c>
      <c r="D585" t="s">
        <v>85</v>
      </c>
      <c r="E585" t="s">
        <v>89</v>
      </c>
      <c r="F585" t="s">
        <v>20</v>
      </c>
      <c r="G585" t="s">
        <v>49</v>
      </c>
      <c r="H585" t="s">
        <v>40</v>
      </c>
      <c r="I585" t="s">
        <v>41</v>
      </c>
      <c r="J585" t="s">
        <v>42</v>
      </c>
      <c r="K585" t="s">
        <v>43</v>
      </c>
      <c r="L585">
        <v>2</v>
      </c>
      <c r="M585">
        <v>1530</v>
      </c>
      <c r="N585">
        <v>15</v>
      </c>
      <c r="O585">
        <v>252.31</v>
      </c>
    </row>
    <row r="586" spans="1:15" x14ac:dyDescent="0.3">
      <c r="A586" t="s">
        <v>1008</v>
      </c>
      <c r="B586" t="s">
        <v>364</v>
      </c>
      <c r="C586" t="s">
        <v>71</v>
      </c>
      <c r="D586" t="s">
        <v>73</v>
      </c>
      <c r="E586" t="s">
        <v>113</v>
      </c>
      <c r="F586" t="s">
        <v>114</v>
      </c>
      <c r="G586" t="s">
        <v>115</v>
      </c>
      <c r="H586" t="s">
        <v>33</v>
      </c>
      <c r="I586" t="s">
        <v>68</v>
      </c>
      <c r="J586" t="s">
        <v>69</v>
      </c>
      <c r="K586" t="s">
        <v>43</v>
      </c>
      <c r="L586">
        <v>2</v>
      </c>
      <c r="M586">
        <v>3240</v>
      </c>
      <c r="N586">
        <v>10</v>
      </c>
      <c r="O586">
        <v>654.16</v>
      </c>
    </row>
    <row r="587" spans="1:15" x14ac:dyDescent="0.3">
      <c r="A587" t="s">
        <v>1009</v>
      </c>
      <c r="B587" t="s">
        <v>452</v>
      </c>
      <c r="C587" t="s">
        <v>326</v>
      </c>
      <c r="D587" t="s">
        <v>55</v>
      </c>
      <c r="E587" t="s">
        <v>56</v>
      </c>
      <c r="F587" t="s">
        <v>57</v>
      </c>
      <c r="G587" t="s">
        <v>58</v>
      </c>
      <c r="H587" t="s">
        <v>59</v>
      </c>
      <c r="I587" t="s">
        <v>93</v>
      </c>
      <c r="J587" t="s">
        <v>94</v>
      </c>
      <c r="K587" t="s">
        <v>62</v>
      </c>
      <c r="L587">
        <v>1</v>
      </c>
      <c r="M587">
        <v>280</v>
      </c>
      <c r="N587">
        <v>20</v>
      </c>
      <c r="O587">
        <v>34.869999999999997</v>
      </c>
    </row>
    <row r="588" spans="1:15" x14ac:dyDescent="0.3">
      <c r="A588" t="s">
        <v>1010</v>
      </c>
      <c r="B588" t="s">
        <v>247</v>
      </c>
      <c r="C588" t="s">
        <v>204</v>
      </c>
      <c r="D588" t="s">
        <v>18</v>
      </c>
      <c r="E588" t="s">
        <v>106</v>
      </c>
      <c r="F588" t="s">
        <v>20</v>
      </c>
      <c r="G588" t="s">
        <v>49</v>
      </c>
      <c r="H588" t="s">
        <v>22</v>
      </c>
      <c r="I588" t="s">
        <v>23</v>
      </c>
      <c r="J588" t="s">
        <v>24</v>
      </c>
      <c r="K588" t="s">
        <v>43</v>
      </c>
      <c r="L588">
        <v>2</v>
      </c>
      <c r="M588">
        <v>3520</v>
      </c>
      <c r="N588">
        <v>20</v>
      </c>
      <c r="O588">
        <v>316.01</v>
      </c>
    </row>
    <row r="589" spans="1:15" x14ac:dyDescent="0.3">
      <c r="A589" t="s">
        <v>1011</v>
      </c>
      <c r="B589" t="s">
        <v>681</v>
      </c>
      <c r="C589" t="s">
        <v>707</v>
      </c>
      <c r="D589" t="s">
        <v>55</v>
      </c>
      <c r="E589" t="s">
        <v>89</v>
      </c>
      <c r="F589" t="s">
        <v>20</v>
      </c>
      <c r="G589" t="s">
        <v>49</v>
      </c>
      <c r="H589" t="s">
        <v>33</v>
      </c>
      <c r="I589" t="s">
        <v>34</v>
      </c>
      <c r="J589" t="s">
        <v>35</v>
      </c>
      <c r="K589" t="s">
        <v>81</v>
      </c>
      <c r="L589">
        <v>3</v>
      </c>
      <c r="M589">
        <v>2295</v>
      </c>
      <c r="N589">
        <v>15</v>
      </c>
      <c r="O589">
        <v>388.31</v>
      </c>
    </row>
    <row r="590" spans="1:15" x14ac:dyDescent="0.3">
      <c r="A590" t="s">
        <v>1012</v>
      </c>
      <c r="B590" t="s">
        <v>1013</v>
      </c>
      <c r="C590" t="s">
        <v>341</v>
      </c>
      <c r="D590" t="s">
        <v>102</v>
      </c>
      <c r="E590" t="s">
        <v>130</v>
      </c>
      <c r="F590" t="s">
        <v>131</v>
      </c>
      <c r="G590" t="s">
        <v>132</v>
      </c>
      <c r="H590" t="s">
        <v>22</v>
      </c>
      <c r="I590" t="s">
        <v>23</v>
      </c>
      <c r="J590" t="s">
        <v>24</v>
      </c>
      <c r="K590" t="s">
        <v>62</v>
      </c>
      <c r="L590">
        <v>3</v>
      </c>
      <c r="M590">
        <v>1350</v>
      </c>
      <c r="N590">
        <v>0</v>
      </c>
      <c r="O590">
        <v>135.19</v>
      </c>
    </row>
    <row r="591" spans="1:15" x14ac:dyDescent="0.3">
      <c r="A591" t="s">
        <v>1014</v>
      </c>
      <c r="B591" t="s">
        <v>641</v>
      </c>
      <c r="C591" t="s">
        <v>240</v>
      </c>
      <c r="D591" t="s">
        <v>18</v>
      </c>
      <c r="E591" t="s">
        <v>19</v>
      </c>
      <c r="F591" t="s">
        <v>20</v>
      </c>
      <c r="G591" t="s">
        <v>21</v>
      </c>
      <c r="H591" t="s">
        <v>33</v>
      </c>
      <c r="I591" t="s">
        <v>34</v>
      </c>
      <c r="J591" t="s">
        <v>35</v>
      </c>
      <c r="K591" t="s">
        <v>25</v>
      </c>
      <c r="L591">
        <v>4</v>
      </c>
      <c r="M591">
        <v>198000</v>
      </c>
      <c r="N591">
        <v>10</v>
      </c>
      <c r="O591">
        <v>19104.330000000002</v>
      </c>
    </row>
    <row r="592" spans="1:15" x14ac:dyDescent="0.3">
      <c r="A592" t="s">
        <v>1015</v>
      </c>
      <c r="B592" t="s">
        <v>183</v>
      </c>
      <c r="C592" t="s">
        <v>87</v>
      </c>
      <c r="D592" t="s">
        <v>18</v>
      </c>
      <c r="E592" t="s">
        <v>113</v>
      </c>
      <c r="F592" t="s">
        <v>114</v>
      </c>
      <c r="G592" t="s">
        <v>115</v>
      </c>
      <c r="H592" t="s">
        <v>22</v>
      </c>
      <c r="I592" t="s">
        <v>23</v>
      </c>
      <c r="J592" t="s">
        <v>24</v>
      </c>
      <c r="K592" t="s">
        <v>25</v>
      </c>
      <c r="L592">
        <v>5</v>
      </c>
      <c r="M592">
        <v>8550</v>
      </c>
      <c r="N592">
        <v>5</v>
      </c>
      <c r="O592">
        <v>1372.05</v>
      </c>
    </row>
    <row r="593" spans="1:15" x14ac:dyDescent="0.3">
      <c r="A593" t="s">
        <v>1016</v>
      </c>
      <c r="B593" t="s">
        <v>679</v>
      </c>
      <c r="C593" t="s">
        <v>228</v>
      </c>
      <c r="D593" t="s">
        <v>102</v>
      </c>
      <c r="E593" t="s">
        <v>48</v>
      </c>
      <c r="F593" t="s">
        <v>20</v>
      </c>
      <c r="G593" t="s">
        <v>49</v>
      </c>
      <c r="H593" t="s">
        <v>59</v>
      </c>
      <c r="I593" t="s">
        <v>93</v>
      </c>
      <c r="J593" t="s">
        <v>94</v>
      </c>
      <c r="K593" t="s">
        <v>62</v>
      </c>
      <c r="L593">
        <v>4</v>
      </c>
      <c r="M593">
        <v>5700</v>
      </c>
      <c r="N593">
        <v>5</v>
      </c>
      <c r="O593">
        <v>867.68</v>
      </c>
    </row>
    <row r="594" spans="1:15" x14ac:dyDescent="0.3">
      <c r="A594" t="s">
        <v>1017</v>
      </c>
      <c r="B594" t="s">
        <v>416</v>
      </c>
      <c r="C594" t="s">
        <v>479</v>
      </c>
      <c r="D594" t="s">
        <v>55</v>
      </c>
      <c r="E594" t="s">
        <v>48</v>
      </c>
      <c r="F594" t="s">
        <v>20</v>
      </c>
      <c r="G594" t="s">
        <v>49</v>
      </c>
      <c r="H594" t="s">
        <v>22</v>
      </c>
      <c r="I594" t="s">
        <v>155</v>
      </c>
      <c r="J594" t="s">
        <v>156</v>
      </c>
      <c r="K594" t="s">
        <v>62</v>
      </c>
      <c r="L594">
        <v>5</v>
      </c>
      <c r="M594">
        <v>6375</v>
      </c>
      <c r="N594">
        <v>15</v>
      </c>
      <c r="O594">
        <v>1383.27</v>
      </c>
    </row>
    <row r="595" spans="1:15" x14ac:dyDescent="0.3">
      <c r="A595" t="s">
        <v>1018</v>
      </c>
      <c r="B595" t="s">
        <v>403</v>
      </c>
      <c r="C595" t="s">
        <v>108</v>
      </c>
      <c r="D595" t="s">
        <v>47</v>
      </c>
      <c r="E595" t="s">
        <v>66</v>
      </c>
      <c r="F595" t="s">
        <v>20</v>
      </c>
      <c r="G595" t="s">
        <v>67</v>
      </c>
      <c r="H595" t="s">
        <v>22</v>
      </c>
      <c r="I595" t="s">
        <v>23</v>
      </c>
      <c r="J595" t="s">
        <v>24</v>
      </c>
      <c r="K595" t="s">
        <v>62</v>
      </c>
      <c r="L595">
        <v>5</v>
      </c>
      <c r="M595">
        <v>51000</v>
      </c>
      <c r="N595">
        <v>15</v>
      </c>
      <c r="O595">
        <v>7215.55</v>
      </c>
    </row>
    <row r="596" spans="1:15" x14ac:dyDescent="0.3">
      <c r="A596" t="s">
        <v>1019</v>
      </c>
      <c r="B596" t="s">
        <v>841</v>
      </c>
      <c r="C596" t="s">
        <v>38</v>
      </c>
      <c r="D596" t="s">
        <v>55</v>
      </c>
      <c r="E596" t="s">
        <v>30</v>
      </c>
      <c r="F596" t="s">
        <v>31</v>
      </c>
      <c r="G596" t="s">
        <v>32</v>
      </c>
      <c r="H596" t="s">
        <v>33</v>
      </c>
      <c r="I596" t="s">
        <v>68</v>
      </c>
      <c r="J596" t="s">
        <v>69</v>
      </c>
      <c r="K596" t="s">
        <v>25</v>
      </c>
      <c r="L596">
        <v>5</v>
      </c>
      <c r="M596">
        <v>26000</v>
      </c>
      <c r="N596">
        <v>20</v>
      </c>
      <c r="O596">
        <v>4051.11</v>
      </c>
    </row>
    <row r="597" spans="1:15" x14ac:dyDescent="0.3">
      <c r="A597" t="s">
        <v>1020</v>
      </c>
      <c r="B597" t="s">
        <v>580</v>
      </c>
      <c r="C597" t="s">
        <v>249</v>
      </c>
      <c r="D597" t="s">
        <v>18</v>
      </c>
      <c r="E597" t="s">
        <v>89</v>
      </c>
      <c r="F597" t="s">
        <v>20</v>
      </c>
      <c r="G597" t="s">
        <v>49</v>
      </c>
      <c r="H597" t="s">
        <v>33</v>
      </c>
      <c r="I597" t="s">
        <v>68</v>
      </c>
      <c r="J597" t="s">
        <v>69</v>
      </c>
      <c r="K597" t="s">
        <v>81</v>
      </c>
      <c r="L597">
        <v>3</v>
      </c>
      <c r="M597">
        <v>2565</v>
      </c>
      <c r="N597">
        <v>5</v>
      </c>
      <c r="O597">
        <v>239.02</v>
      </c>
    </row>
    <row r="598" spans="1:15" x14ac:dyDescent="0.3">
      <c r="A598" t="s">
        <v>1021</v>
      </c>
      <c r="B598" t="s">
        <v>769</v>
      </c>
      <c r="C598" t="s">
        <v>297</v>
      </c>
      <c r="D598" t="s">
        <v>47</v>
      </c>
      <c r="E598" t="s">
        <v>30</v>
      </c>
      <c r="F598" t="s">
        <v>31</v>
      </c>
      <c r="G598" t="s">
        <v>32</v>
      </c>
      <c r="H598" t="s">
        <v>33</v>
      </c>
      <c r="I598" t="s">
        <v>34</v>
      </c>
      <c r="J598" t="s">
        <v>35</v>
      </c>
      <c r="K598" t="s">
        <v>62</v>
      </c>
      <c r="L598">
        <v>1</v>
      </c>
      <c r="M598">
        <v>5525</v>
      </c>
      <c r="N598">
        <v>15</v>
      </c>
      <c r="O598">
        <v>1019.4</v>
      </c>
    </row>
    <row r="599" spans="1:15" x14ac:dyDescent="0.3">
      <c r="A599" t="s">
        <v>1022</v>
      </c>
      <c r="B599" t="s">
        <v>769</v>
      </c>
      <c r="C599" t="s">
        <v>562</v>
      </c>
      <c r="D599" t="s">
        <v>29</v>
      </c>
      <c r="E599" t="s">
        <v>66</v>
      </c>
      <c r="F599" t="s">
        <v>20</v>
      </c>
      <c r="G599" t="s">
        <v>67</v>
      </c>
      <c r="H599" t="s">
        <v>40</v>
      </c>
      <c r="I599" t="s">
        <v>50</v>
      </c>
      <c r="J599" t="s">
        <v>51</v>
      </c>
      <c r="K599" t="s">
        <v>25</v>
      </c>
      <c r="L599">
        <v>3</v>
      </c>
      <c r="M599">
        <v>28800</v>
      </c>
      <c r="N599">
        <v>20</v>
      </c>
      <c r="O599">
        <v>5230.3999999999996</v>
      </c>
    </row>
    <row r="600" spans="1:15" x14ac:dyDescent="0.3">
      <c r="A600" t="s">
        <v>1023</v>
      </c>
      <c r="B600" t="s">
        <v>461</v>
      </c>
      <c r="C600" t="s">
        <v>252</v>
      </c>
      <c r="D600" t="s">
        <v>47</v>
      </c>
      <c r="E600" t="s">
        <v>113</v>
      </c>
      <c r="F600" t="s">
        <v>114</v>
      </c>
      <c r="G600" t="s">
        <v>115</v>
      </c>
      <c r="H600" t="s">
        <v>22</v>
      </c>
      <c r="I600" t="s">
        <v>155</v>
      </c>
      <c r="J600" t="s">
        <v>156</v>
      </c>
      <c r="K600" t="s">
        <v>62</v>
      </c>
      <c r="L600">
        <v>1</v>
      </c>
      <c r="M600">
        <v>1620</v>
      </c>
      <c r="N600">
        <v>10</v>
      </c>
      <c r="O600">
        <v>150.68</v>
      </c>
    </row>
    <row r="601" spans="1:15" x14ac:dyDescent="0.3">
      <c r="A601" t="s">
        <v>1024</v>
      </c>
      <c r="B601" t="s">
        <v>320</v>
      </c>
      <c r="C601" t="s">
        <v>305</v>
      </c>
      <c r="D601" t="s">
        <v>102</v>
      </c>
      <c r="E601" t="s">
        <v>19</v>
      </c>
      <c r="F601" t="s">
        <v>20</v>
      </c>
      <c r="G601" t="s">
        <v>21</v>
      </c>
      <c r="H601" t="s">
        <v>40</v>
      </c>
      <c r="I601" t="s">
        <v>41</v>
      </c>
      <c r="J601" t="s">
        <v>42</v>
      </c>
      <c r="K601" t="s">
        <v>25</v>
      </c>
      <c r="L601">
        <v>2</v>
      </c>
      <c r="M601">
        <v>88000</v>
      </c>
      <c r="N601">
        <v>20</v>
      </c>
      <c r="O601">
        <v>17194.73</v>
      </c>
    </row>
    <row r="602" spans="1:15" x14ac:dyDescent="0.3">
      <c r="A602" t="s">
        <v>1025</v>
      </c>
      <c r="B602" t="s">
        <v>431</v>
      </c>
      <c r="C602" t="s">
        <v>439</v>
      </c>
      <c r="D602" t="s">
        <v>102</v>
      </c>
      <c r="E602" t="s">
        <v>113</v>
      </c>
      <c r="F602" t="s">
        <v>114</v>
      </c>
      <c r="G602" t="s">
        <v>115</v>
      </c>
      <c r="H602" t="s">
        <v>33</v>
      </c>
      <c r="I602" t="s">
        <v>68</v>
      </c>
      <c r="J602" t="s">
        <v>69</v>
      </c>
      <c r="K602" t="s">
        <v>81</v>
      </c>
      <c r="L602">
        <v>1</v>
      </c>
      <c r="M602">
        <v>1440</v>
      </c>
      <c r="N602">
        <v>20</v>
      </c>
      <c r="O602">
        <v>162.01</v>
      </c>
    </row>
    <row r="603" spans="1:15" x14ac:dyDescent="0.3">
      <c r="A603" t="s">
        <v>1026</v>
      </c>
      <c r="B603" t="s">
        <v>474</v>
      </c>
      <c r="C603" t="s">
        <v>372</v>
      </c>
      <c r="D603" t="s">
        <v>55</v>
      </c>
      <c r="E603" t="s">
        <v>56</v>
      </c>
      <c r="F603" t="s">
        <v>57</v>
      </c>
      <c r="G603" t="s">
        <v>58</v>
      </c>
      <c r="H603" t="s">
        <v>22</v>
      </c>
      <c r="I603" t="s">
        <v>23</v>
      </c>
      <c r="J603" t="s">
        <v>24</v>
      </c>
      <c r="K603" t="s">
        <v>25</v>
      </c>
      <c r="L603">
        <v>1</v>
      </c>
      <c r="M603">
        <v>332.5</v>
      </c>
      <c r="N603">
        <v>5</v>
      </c>
      <c r="O603">
        <v>66.91</v>
      </c>
    </row>
    <row r="604" spans="1:15" x14ac:dyDescent="0.3">
      <c r="A604" t="s">
        <v>1027</v>
      </c>
      <c r="B604" t="s">
        <v>454</v>
      </c>
      <c r="C604" t="s">
        <v>455</v>
      </c>
      <c r="D604" t="s">
        <v>98</v>
      </c>
      <c r="E604" t="s">
        <v>130</v>
      </c>
      <c r="F604" t="s">
        <v>131</v>
      </c>
      <c r="G604" t="s">
        <v>132</v>
      </c>
      <c r="H604" t="s">
        <v>40</v>
      </c>
      <c r="I604" t="s">
        <v>41</v>
      </c>
      <c r="J604" t="s">
        <v>42</v>
      </c>
      <c r="K604" t="s">
        <v>81</v>
      </c>
      <c r="L604">
        <v>4</v>
      </c>
      <c r="M604">
        <v>1800</v>
      </c>
      <c r="N604">
        <v>0</v>
      </c>
      <c r="O604">
        <v>381.97</v>
      </c>
    </row>
    <row r="605" spans="1:15" x14ac:dyDescent="0.3">
      <c r="A605" t="s">
        <v>1028</v>
      </c>
      <c r="B605" t="s">
        <v>381</v>
      </c>
      <c r="C605" t="s">
        <v>831</v>
      </c>
      <c r="D605" t="s">
        <v>98</v>
      </c>
      <c r="E605" t="s">
        <v>48</v>
      </c>
      <c r="F605" t="s">
        <v>20</v>
      </c>
      <c r="G605" t="s">
        <v>49</v>
      </c>
      <c r="H605" t="s">
        <v>59</v>
      </c>
      <c r="I605" t="s">
        <v>60</v>
      </c>
      <c r="J605" t="s">
        <v>61</v>
      </c>
      <c r="K605" t="s">
        <v>25</v>
      </c>
      <c r="L605">
        <v>3</v>
      </c>
      <c r="M605">
        <v>4275</v>
      </c>
      <c r="N605">
        <v>5</v>
      </c>
      <c r="O605">
        <v>445.35</v>
      </c>
    </row>
    <row r="606" spans="1:15" x14ac:dyDescent="0.3">
      <c r="A606" t="s">
        <v>1029</v>
      </c>
      <c r="B606" t="s">
        <v>541</v>
      </c>
      <c r="C606" t="s">
        <v>186</v>
      </c>
      <c r="D606" t="s">
        <v>18</v>
      </c>
      <c r="E606" t="s">
        <v>130</v>
      </c>
      <c r="F606" t="s">
        <v>131</v>
      </c>
      <c r="G606" t="s">
        <v>132</v>
      </c>
      <c r="H606" t="s">
        <v>33</v>
      </c>
      <c r="I606" t="s">
        <v>34</v>
      </c>
      <c r="J606" t="s">
        <v>35</v>
      </c>
      <c r="K606" t="s">
        <v>25</v>
      </c>
      <c r="L606">
        <v>3</v>
      </c>
      <c r="M606">
        <v>1215</v>
      </c>
      <c r="N606">
        <v>10</v>
      </c>
      <c r="O606">
        <v>187.58</v>
      </c>
    </row>
    <row r="607" spans="1:15" x14ac:dyDescent="0.3">
      <c r="A607" t="s">
        <v>1030</v>
      </c>
      <c r="B607" t="s">
        <v>291</v>
      </c>
      <c r="C607" t="s">
        <v>345</v>
      </c>
      <c r="D607" t="s">
        <v>80</v>
      </c>
      <c r="E607" t="s">
        <v>106</v>
      </c>
      <c r="F607" t="s">
        <v>20</v>
      </c>
      <c r="G607" t="s">
        <v>49</v>
      </c>
      <c r="H607" t="s">
        <v>40</v>
      </c>
      <c r="I607" t="s">
        <v>50</v>
      </c>
      <c r="J607" t="s">
        <v>51</v>
      </c>
      <c r="K607" t="s">
        <v>43</v>
      </c>
      <c r="L607">
        <v>5</v>
      </c>
      <c r="M607">
        <v>9900</v>
      </c>
      <c r="N607">
        <v>10</v>
      </c>
      <c r="O607">
        <v>1213.5899999999999</v>
      </c>
    </row>
    <row r="608" spans="1:15" x14ac:dyDescent="0.3">
      <c r="A608" t="s">
        <v>1031</v>
      </c>
      <c r="B608" t="s">
        <v>710</v>
      </c>
      <c r="C608" t="s">
        <v>141</v>
      </c>
      <c r="D608" t="s">
        <v>39</v>
      </c>
      <c r="E608" t="s">
        <v>56</v>
      </c>
      <c r="F608" t="s">
        <v>57</v>
      </c>
      <c r="G608" t="s">
        <v>58</v>
      </c>
      <c r="H608" t="s">
        <v>59</v>
      </c>
      <c r="I608" t="s">
        <v>93</v>
      </c>
      <c r="J608" t="s">
        <v>94</v>
      </c>
      <c r="K608" t="s">
        <v>81</v>
      </c>
      <c r="L608">
        <v>5</v>
      </c>
      <c r="M608">
        <v>1400</v>
      </c>
      <c r="N608">
        <v>20</v>
      </c>
      <c r="O608">
        <v>186.01</v>
      </c>
    </row>
    <row r="609" spans="1:15" x14ac:dyDescent="0.3">
      <c r="A609" t="s">
        <v>1032</v>
      </c>
      <c r="B609" t="s">
        <v>457</v>
      </c>
      <c r="C609" t="s">
        <v>91</v>
      </c>
      <c r="D609" t="s">
        <v>80</v>
      </c>
      <c r="E609" t="s">
        <v>119</v>
      </c>
      <c r="F609" t="s">
        <v>31</v>
      </c>
      <c r="G609" t="s">
        <v>120</v>
      </c>
      <c r="H609" t="s">
        <v>40</v>
      </c>
      <c r="I609" t="s">
        <v>50</v>
      </c>
      <c r="J609" t="s">
        <v>51</v>
      </c>
      <c r="K609" t="s">
        <v>25</v>
      </c>
      <c r="L609">
        <v>5</v>
      </c>
      <c r="M609">
        <v>38250</v>
      </c>
      <c r="N609">
        <v>10</v>
      </c>
      <c r="O609">
        <v>8044.79</v>
      </c>
    </row>
    <row r="610" spans="1:15" x14ac:dyDescent="0.3">
      <c r="A610" t="s">
        <v>1033</v>
      </c>
      <c r="B610" t="s">
        <v>738</v>
      </c>
      <c r="C610" t="s">
        <v>256</v>
      </c>
      <c r="D610" t="s">
        <v>73</v>
      </c>
      <c r="E610" t="s">
        <v>48</v>
      </c>
      <c r="F610" t="s">
        <v>20</v>
      </c>
      <c r="G610" t="s">
        <v>49</v>
      </c>
      <c r="H610" t="s">
        <v>33</v>
      </c>
      <c r="I610" t="s">
        <v>68</v>
      </c>
      <c r="J610" t="s">
        <v>133</v>
      </c>
      <c r="K610" t="s">
        <v>43</v>
      </c>
      <c r="L610">
        <v>5</v>
      </c>
      <c r="M610">
        <v>6000</v>
      </c>
      <c r="N610">
        <v>20</v>
      </c>
      <c r="O610">
        <v>1050.8</v>
      </c>
    </row>
    <row r="611" spans="1:15" x14ac:dyDescent="0.3">
      <c r="A611" t="s">
        <v>1034</v>
      </c>
      <c r="B611" t="s">
        <v>515</v>
      </c>
      <c r="C611" t="s">
        <v>481</v>
      </c>
      <c r="D611" t="s">
        <v>55</v>
      </c>
      <c r="E611" t="s">
        <v>89</v>
      </c>
      <c r="F611" t="s">
        <v>20</v>
      </c>
      <c r="G611" t="s">
        <v>49</v>
      </c>
      <c r="H611" t="s">
        <v>33</v>
      </c>
      <c r="I611" t="s">
        <v>68</v>
      </c>
      <c r="J611" t="s">
        <v>69</v>
      </c>
      <c r="K611" t="s">
        <v>81</v>
      </c>
      <c r="L611">
        <v>4</v>
      </c>
      <c r="M611">
        <v>3060</v>
      </c>
      <c r="N611">
        <v>15</v>
      </c>
      <c r="O611">
        <v>439.26</v>
      </c>
    </row>
    <row r="612" spans="1:15" x14ac:dyDescent="0.3">
      <c r="A612" t="s">
        <v>1035</v>
      </c>
      <c r="B612" t="s">
        <v>136</v>
      </c>
      <c r="C612" t="s">
        <v>782</v>
      </c>
      <c r="D612" t="s">
        <v>39</v>
      </c>
      <c r="E612" t="s">
        <v>48</v>
      </c>
      <c r="F612" t="s">
        <v>20</v>
      </c>
      <c r="G612" t="s">
        <v>49</v>
      </c>
      <c r="H612" t="s">
        <v>59</v>
      </c>
      <c r="I612" t="s">
        <v>60</v>
      </c>
      <c r="J612" t="s">
        <v>61</v>
      </c>
      <c r="K612" t="s">
        <v>62</v>
      </c>
      <c r="L612">
        <v>5</v>
      </c>
      <c r="M612">
        <v>7125</v>
      </c>
      <c r="N612">
        <v>5</v>
      </c>
      <c r="O612">
        <v>1217.8</v>
      </c>
    </row>
    <row r="613" spans="1:15" x14ac:dyDescent="0.3">
      <c r="A613" t="s">
        <v>1036</v>
      </c>
      <c r="B613" t="s">
        <v>591</v>
      </c>
      <c r="C613" t="s">
        <v>179</v>
      </c>
      <c r="D613" t="s">
        <v>85</v>
      </c>
      <c r="E613" t="s">
        <v>56</v>
      </c>
      <c r="F613" t="s">
        <v>57</v>
      </c>
      <c r="G613" t="s">
        <v>58</v>
      </c>
      <c r="H613" t="s">
        <v>40</v>
      </c>
      <c r="I613" t="s">
        <v>41</v>
      </c>
      <c r="J613" t="s">
        <v>42</v>
      </c>
      <c r="K613" t="s">
        <v>62</v>
      </c>
      <c r="L613">
        <v>4</v>
      </c>
      <c r="M613">
        <v>1190</v>
      </c>
      <c r="N613">
        <v>15</v>
      </c>
      <c r="O613">
        <v>225.65</v>
      </c>
    </row>
    <row r="614" spans="1:15" x14ac:dyDescent="0.3">
      <c r="A614" t="s">
        <v>1037</v>
      </c>
      <c r="B614" t="s">
        <v>38</v>
      </c>
      <c r="C614" t="s">
        <v>618</v>
      </c>
      <c r="D614" t="s">
        <v>47</v>
      </c>
      <c r="E614" t="s">
        <v>48</v>
      </c>
      <c r="F614" t="s">
        <v>20</v>
      </c>
      <c r="G614" t="s">
        <v>49</v>
      </c>
      <c r="H614" t="s">
        <v>33</v>
      </c>
      <c r="I614" t="s">
        <v>68</v>
      </c>
      <c r="J614" t="s">
        <v>133</v>
      </c>
      <c r="K614" t="s">
        <v>81</v>
      </c>
      <c r="L614">
        <v>5</v>
      </c>
      <c r="M614">
        <v>7125</v>
      </c>
      <c r="N614">
        <v>5</v>
      </c>
      <c r="O614">
        <v>989.98</v>
      </c>
    </row>
    <row r="615" spans="1:15" x14ac:dyDescent="0.3">
      <c r="A615" t="s">
        <v>1038</v>
      </c>
      <c r="B615" t="s">
        <v>1039</v>
      </c>
      <c r="C615" t="s">
        <v>739</v>
      </c>
      <c r="D615" t="s">
        <v>39</v>
      </c>
      <c r="E615" t="s">
        <v>66</v>
      </c>
      <c r="F615" t="s">
        <v>20</v>
      </c>
      <c r="G615" t="s">
        <v>67</v>
      </c>
      <c r="H615" t="s">
        <v>22</v>
      </c>
      <c r="I615" t="s">
        <v>155</v>
      </c>
      <c r="J615" t="s">
        <v>156</v>
      </c>
      <c r="K615" t="s">
        <v>62</v>
      </c>
      <c r="L615">
        <v>4</v>
      </c>
      <c r="M615">
        <v>38400</v>
      </c>
      <c r="N615">
        <v>20</v>
      </c>
      <c r="O615">
        <v>7627.16</v>
      </c>
    </row>
    <row r="616" spans="1:15" x14ac:dyDescent="0.3">
      <c r="A616" t="s">
        <v>1040</v>
      </c>
      <c r="B616" t="s">
        <v>745</v>
      </c>
      <c r="C616" t="s">
        <v>347</v>
      </c>
      <c r="D616" t="s">
        <v>47</v>
      </c>
      <c r="E616" t="s">
        <v>130</v>
      </c>
      <c r="F616" t="s">
        <v>131</v>
      </c>
      <c r="G616" t="s">
        <v>132</v>
      </c>
      <c r="H616" t="s">
        <v>33</v>
      </c>
      <c r="I616" t="s">
        <v>68</v>
      </c>
      <c r="J616" t="s">
        <v>133</v>
      </c>
      <c r="K616" t="s">
        <v>43</v>
      </c>
      <c r="L616">
        <v>2</v>
      </c>
      <c r="M616">
        <v>720</v>
      </c>
      <c r="N616">
        <v>20</v>
      </c>
      <c r="O616">
        <v>90.01</v>
      </c>
    </row>
    <row r="617" spans="1:15" x14ac:dyDescent="0.3">
      <c r="A617" t="s">
        <v>1041</v>
      </c>
      <c r="B617" t="s">
        <v>184</v>
      </c>
      <c r="C617" t="s">
        <v>87</v>
      </c>
      <c r="D617" t="s">
        <v>18</v>
      </c>
      <c r="E617" t="s">
        <v>30</v>
      </c>
      <c r="F617" t="s">
        <v>31</v>
      </c>
      <c r="G617" t="s">
        <v>32</v>
      </c>
      <c r="H617" t="s">
        <v>33</v>
      </c>
      <c r="I617" t="s">
        <v>68</v>
      </c>
      <c r="J617" t="s">
        <v>69</v>
      </c>
      <c r="K617" t="s">
        <v>62</v>
      </c>
      <c r="L617">
        <v>3</v>
      </c>
      <c r="M617">
        <v>19500</v>
      </c>
      <c r="N617">
        <v>0</v>
      </c>
      <c r="O617">
        <v>1699.85</v>
      </c>
    </row>
    <row r="618" spans="1:15" x14ac:dyDescent="0.3">
      <c r="A618" t="s">
        <v>1042</v>
      </c>
      <c r="B618" t="s">
        <v>186</v>
      </c>
      <c r="C618" t="s">
        <v>265</v>
      </c>
      <c r="D618" t="s">
        <v>102</v>
      </c>
      <c r="E618" t="s">
        <v>19</v>
      </c>
      <c r="F618" t="s">
        <v>20</v>
      </c>
      <c r="G618" t="s">
        <v>21</v>
      </c>
      <c r="H618" t="s">
        <v>22</v>
      </c>
      <c r="I618" t="s">
        <v>23</v>
      </c>
      <c r="J618" t="s">
        <v>24</v>
      </c>
      <c r="K618" t="s">
        <v>62</v>
      </c>
      <c r="L618">
        <v>2</v>
      </c>
      <c r="M618">
        <v>104500</v>
      </c>
      <c r="N618">
        <v>5</v>
      </c>
      <c r="O618">
        <v>16155.98</v>
      </c>
    </row>
    <row r="619" spans="1:15" x14ac:dyDescent="0.3">
      <c r="A619" t="s">
        <v>1043</v>
      </c>
      <c r="B619" t="s">
        <v>312</v>
      </c>
      <c r="C619" t="s">
        <v>627</v>
      </c>
      <c r="D619" t="s">
        <v>18</v>
      </c>
      <c r="E619" t="s">
        <v>130</v>
      </c>
      <c r="F619" t="s">
        <v>131</v>
      </c>
      <c r="G619" t="s">
        <v>132</v>
      </c>
      <c r="H619" t="s">
        <v>22</v>
      </c>
      <c r="I619" t="s">
        <v>155</v>
      </c>
      <c r="J619" t="s">
        <v>156</v>
      </c>
      <c r="K619" t="s">
        <v>81</v>
      </c>
      <c r="L619">
        <v>4</v>
      </c>
      <c r="M619">
        <v>1440</v>
      </c>
      <c r="N619">
        <v>20</v>
      </c>
      <c r="O619">
        <v>265.63</v>
      </c>
    </row>
    <row r="620" spans="1:15" x14ac:dyDescent="0.3">
      <c r="A620" t="s">
        <v>1044</v>
      </c>
      <c r="B620" t="s">
        <v>575</v>
      </c>
      <c r="C620" t="s">
        <v>237</v>
      </c>
      <c r="D620" t="s">
        <v>18</v>
      </c>
      <c r="E620" t="s">
        <v>66</v>
      </c>
      <c r="F620" t="s">
        <v>20</v>
      </c>
      <c r="G620" t="s">
        <v>67</v>
      </c>
      <c r="H620" t="s">
        <v>59</v>
      </c>
      <c r="I620" t="s">
        <v>60</v>
      </c>
      <c r="J620" t="s">
        <v>61</v>
      </c>
      <c r="K620" t="s">
        <v>81</v>
      </c>
      <c r="L620">
        <v>1</v>
      </c>
      <c r="M620">
        <v>10800</v>
      </c>
      <c r="N620">
        <v>10</v>
      </c>
      <c r="O620">
        <v>1712.22</v>
      </c>
    </row>
    <row r="621" spans="1:15" x14ac:dyDescent="0.3">
      <c r="A621" t="s">
        <v>1045</v>
      </c>
      <c r="B621" t="s">
        <v>256</v>
      </c>
      <c r="C621" t="s">
        <v>481</v>
      </c>
      <c r="D621" t="s">
        <v>80</v>
      </c>
      <c r="E621" t="s">
        <v>89</v>
      </c>
      <c r="F621" t="s">
        <v>20</v>
      </c>
      <c r="G621" t="s">
        <v>49</v>
      </c>
      <c r="H621" t="s">
        <v>59</v>
      </c>
      <c r="I621" t="s">
        <v>93</v>
      </c>
      <c r="J621" t="s">
        <v>94</v>
      </c>
      <c r="K621" t="s">
        <v>81</v>
      </c>
      <c r="L621">
        <v>5</v>
      </c>
      <c r="M621">
        <v>3825</v>
      </c>
      <c r="N621">
        <v>15</v>
      </c>
      <c r="O621">
        <v>639.91</v>
      </c>
    </row>
    <row r="622" spans="1:15" x14ac:dyDescent="0.3">
      <c r="A622" t="s">
        <v>1046</v>
      </c>
      <c r="B622" t="s">
        <v>154</v>
      </c>
      <c r="C622" t="s">
        <v>150</v>
      </c>
      <c r="D622" t="s">
        <v>47</v>
      </c>
      <c r="E622" t="s">
        <v>89</v>
      </c>
      <c r="F622" t="s">
        <v>20</v>
      </c>
      <c r="G622" t="s">
        <v>49</v>
      </c>
      <c r="H622" t="s">
        <v>59</v>
      </c>
      <c r="I622" t="s">
        <v>93</v>
      </c>
      <c r="J622" t="s">
        <v>94</v>
      </c>
      <c r="K622" t="s">
        <v>43</v>
      </c>
      <c r="L622">
        <v>2</v>
      </c>
      <c r="M622">
        <v>1620</v>
      </c>
      <c r="N622">
        <v>10</v>
      </c>
      <c r="O622">
        <v>312.32</v>
      </c>
    </row>
    <row r="623" spans="1:15" x14ac:dyDescent="0.3">
      <c r="A623" t="s">
        <v>1047</v>
      </c>
      <c r="B623" t="s">
        <v>370</v>
      </c>
      <c r="C623" t="s">
        <v>209</v>
      </c>
      <c r="D623" t="s">
        <v>80</v>
      </c>
      <c r="E623" t="s">
        <v>89</v>
      </c>
      <c r="F623" t="s">
        <v>20</v>
      </c>
      <c r="G623" t="s">
        <v>49</v>
      </c>
      <c r="H623" t="s">
        <v>33</v>
      </c>
      <c r="I623" t="s">
        <v>68</v>
      </c>
      <c r="J623" t="s">
        <v>133</v>
      </c>
      <c r="K623" t="s">
        <v>25</v>
      </c>
      <c r="L623">
        <v>3</v>
      </c>
      <c r="M623">
        <v>2565</v>
      </c>
      <c r="N623">
        <v>5</v>
      </c>
      <c r="O623">
        <v>279.60000000000002</v>
      </c>
    </row>
    <row r="624" spans="1:15" x14ac:dyDescent="0.3">
      <c r="A624" t="s">
        <v>1048</v>
      </c>
      <c r="B624" t="s">
        <v>235</v>
      </c>
      <c r="C624" t="s">
        <v>326</v>
      </c>
      <c r="D624" t="s">
        <v>39</v>
      </c>
      <c r="E624" t="s">
        <v>66</v>
      </c>
      <c r="F624" t="s">
        <v>20</v>
      </c>
      <c r="G624" t="s">
        <v>67</v>
      </c>
      <c r="H624" t="s">
        <v>59</v>
      </c>
      <c r="I624" t="s">
        <v>93</v>
      </c>
      <c r="J624" t="s">
        <v>94</v>
      </c>
      <c r="K624" t="s">
        <v>62</v>
      </c>
      <c r="L624">
        <v>5</v>
      </c>
      <c r="M624">
        <v>57000</v>
      </c>
      <c r="N624">
        <v>5</v>
      </c>
      <c r="O624">
        <v>8137.98</v>
      </c>
    </row>
    <row r="625" spans="1:15" x14ac:dyDescent="0.3">
      <c r="A625" t="s">
        <v>1049</v>
      </c>
      <c r="B625" t="s">
        <v>1050</v>
      </c>
      <c r="C625" t="s">
        <v>660</v>
      </c>
      <c r="D625" t="s">
        <v>47</v>
      </c>
      <c r="E625" t="s">
        <v>66</v>
      </c>
      <c r="F625" t="s">
        <v>20</v>
      </c>
      <c r="G625" t="s">
        <v>67</v>
      </c>
      <c r="H625" t="s">
        <v>33</v>
      </c>
      <c r="I625" t="s">
        <v>34</v>
      </c>
      <c r="J625" t="s">
        <v>35</v>
      </c>
      <c r="K625" t="s">
        <v>25</v>
      </c>
      <c r="L625">
        <v>1</v>
      </c>
      <c r="M625">
        <v>11400</v>
      </c>
      <c r="N625">
        <v>5</v>
      </c>
      <c r="O625">
        <v>1217.3800000000001</v>
      </c>
    </row>
    <row r="626" spans="1:15" x14ac:dyDescent="0.3">
      <c r="A626" t="s">
        <v>1051</v>
      </c>
      <c r="B626" t="s">
        <v>404</v>
      </c>
      <c r="C626" t="s">
        <v>287</v>
      </c>
      <c r="D626" t="s">
        <v>98</v>
      </c>
      <c r="E626" t="s">
        <v>106</v>
      </c>
      <c r="F626" t="s">
        <v>20</v>
      </c>
      <c r="G626" t="s">
        <v>49</v>
      </c>
      <c r="H626" t="s">
        <v>59</v>
      </c>
      <c r="I626" t="s">
        <v>93</v>
      </c>
      <c r="J626" t="s">
        <v>94</v>
      </c>
      <c r="K626" t="s">
        <v>25</v>
      </c>
      <c r="L626">
        <v>4</v>
      </c>
      <c r="M626">
        <v>8360</v>
      </c>
      <c r="N626">
        <v>5</v>
      </c>
      <c r="O626">
        <v>861.71</v>
      </c>
    </row>
    <row r="627" spans="1:15" x14ac:dyDescent="0.3">
      <c r="A627" t="s">
        <v>1052</v>
      </c>
      <c r="B627" t="s">
        <v>28</v>
      </c>
      <c r="C627" t="s">
        <v>681</v>
      </c>
      <c r="D627" t="s">
        <v>73</v>
      </c>
      <c r="E627" t="s">
        <v>48</v>
      </c>
      <c r="F627" t="s">
        <v>20</v>
      </c>
      <c r="G627" t="s">
        <v>49</v>
      </c>
      <c r="H627" t="s">
        <v>22</v>
      </c>
      <c r="I627" t="s">
        <v>23</v>
      </c>
      <c r="J627" t="s">
        <v>24</v>
      </c>
      <c r="K627" t="s">
        <v>81</v>
      </c>
      <c r="L627">
        <v>5</v>
      </c>
      <c r="M627">
        <v>6375</v>
      </c>
      <c r="N627">
        <v>15</v>
      </c>
      <c r="O627">
        <v>859.49</v>
      </c>
    </row>
    <row r="628" spans="1:15" x14ac:dyDescent="0.3">
      <c r="A628" t="s">
        <v>1053</v>
      </c>
      <c r="B628" t="s">
        <v>596</v>
      </c>
      <c r="C628" t="s">
        <v>583</v>
      </c>
      <c r="D628" t="s">
        <v>85</v>
      </c>
      <c r="E628" t="s">
        <v>106</v>
      </c>
      <c r="F628" t="s">
        <v>20</v>
      </c>
      <c r="G628" t="s">
        <v>49</v>
      </c>
      <c r="H628" t="s">
        <v>59</v>
      </c>
      <c r="I628" t="s">
        <v>93</v>
      </c>
      <c r="J628" t="s">
        <v>94</v>
      </c>
      <c r="K628" t="s">
        <v>81</v>
      </c>
      <c r="L628">
        <v>2</v>
      </c>
      <c r="M628">
        <v>3520</v>
      </c>
      <c r="N628">
        <v>20</v>
      </c>
      <c r="O628">
        <v>664.71</v>
      </c>
    </row>
    <row r="629" spans="1:15" x14ac:dyDescent="0.3">
      <c r="A629" t="s">
        <v>1054</v>
      </c>
      <c r="B629" t="s">
        <v>1013</v>
      </c>
      <c r="C629" t="s">
        <v>300</v>
      </c>
      <c r="D629" t="s">
        <v>47</v>
      </c>
      <c r="E629" t="s">
        <v>89</v>
      </c>
      <c r="F629" t="s">
        <v>20</v>
      </c>
      <c r="G629" t="s">
        <v>49</v>
      </c>
      <c r="H629" t="s">
        <v>40</v>
      </c>
      <c r="I629" t="s">
        <v>41</v>
      </c>
      <c r="J629" t="s">
        <v>42</v>
      </c>
      <c r="K629" t="s">
        <v>25</v>
      </c>
      <c r="L629">
        <v>1</v>
      </c>
      <c r="M629">
        <v>720</v>
      </c>
      <c r="N629">
        <v>20</v>
      </c>
      <c r="O629">
        <v>143.26</v>
      </c>
    </row>
    <row r="630" spans="1:15" x14ac:dyDescent="0.3">
      <c r="A630" t="s">
        <v>1055</v>
      </c>
      <c r="B630" t="s">
        <v>88</v>
      </c>
      <c r="C630" t="s">
        <v>176</v>
      </c>
      <c r="D630" t="s">
        <v>47</v>
      </c>
      <c r="E630" t="s">
        <v>48</v>
      </c>
      <c r="F630" t="s">
        <v>20</v>
      </c>
      <c r="G630" t="s">
        <v>49</v>
      </c>
      <c r="H630" t="s">
        <v>59</v>
      </c>
      <c r="I630" t="s">
        <v>93</v>
      </c>
      <c r="J630" t="s">
        <v>94</v>
      </c>
      <c r="K630" t="s">
        <v>25</v>
      </c>
      <c r="L630">
        <v>3</v>
      </c>
      <c r="M630">
        <v>4500</v>
      </c>
      <c r="N630">
        <v>0</v>
      </c>
      <c r="O630">
        <v>396.24</v>
      </c>
    </row>
    <row r="631" spans="1:15" x14ac:dyDescent="0.3">
      <c r="A631" t="s">
        <v>1056</v>
      </c>
      <c r="B631" t="s">
        <v>476</v>
      </c>
      <c r="C631" t="s">
        <v>776</v>
      </c>
      <c r="D631" t="s">
        <v>102</v>
      </c>
      <c r="E631" t="s">
        <v>106</v>
      </c>
      <c r="F631" t="s">
        <v>20</v>
      </c>
      <c r="G631" t="s">
        <v>49</v>
      </c>
      <c r="H631" t="s">
        <v>22</v>
      </c>
      <c r="I631" t="s">
        <v>23</v>
      </c>
      <c r="J631" t="s">
        <v>24</v>
      </c>
      <c r="K631" t="s">
        <v>43</v>
      </c>
      <c r="L631">
        <v>2</v>
      </c>
      <c r="M631">
        <v>3740</v>
      </c>
      <c r="N631">
        <v>15</v>
      </c>
      <c r="O631">
        <v>517.32000000000005</v>
      </c>
    </row>
    <row r="632" spans="1:15" x14ac:dyDescent="0.3">
      <c r="A632" t="s">
        <v>1057</v>
      </c>
      <c r="B632" t="s">
        <v>463</v>
      </c>
      <c r="C632" t="s">
        <v>105</v>
      </c>
      <c r="D632" t="s">
        <v>98</v>
      </c>
      <c r="E632" t="s">
        <v>48</v>
      </c>
      <c r="F632" t="s">
        <v>20</v>
      </c>
      <c r="G632" t="s">
        <v>49</v>
      </c>
      <c r="H632" t="s">
        <v>59</v>
      </c>
      <c r="I632" t="s">
        <v>93</v>
      </c>
      <c r="J632" t="s">
        <v>94</v>
      </c>
      <c r="K632" t="s">
        <v>81</v>
      </c>
      <c r="L632">
        <v>1</v>
      </c>
      <c r="M632">
        <v>1425</v>
      </c>
      <c r="N632">
        <v>5</v>
      </c>
      <c r="O632">
        <v>187.39</v>
      </c>
    </row>
    <row r="633" spans="1:15" x14ac:dyDescent="0.3">
      <c r="A633" t="s">
        <v>1058</v>
      </c>
      <c r="B633" t="s">
        <v>1059</v>
      </c>
      <c r="C633" t="s">
        <v>482</v>
      </c>
      <c r="D633" t="s">
        <v>39</v>
      </c>
      <c r="E633" t="s">
        <v>48</v>
      </c>
      <c r="F633" t="s">
        <v>20</v>
      </c>
      <c r="G633" t="s">
        <v>49</v>
      </c>
      <c r="H633" t="s">
        <v>22</v>
      </c>
      <c r="I633" t="s">
        <v>23</v>
      </c>
      <c r="J633" t="s">
        <v>24</v>
      </c>
      <c r="K633" t="s">
        <v>62</v>
      </c>
      <c r="L633">
        <v>5</v>
      </c>
      <c r="M633">
        <v>6375</v>
      </c>
      <c r="N633">
        <v>15</v>
      </c>
      <c r="O633">
        <v>657.6</v>
      </c>
    </row>
    <row r="634" spans="1:15" x14ac:dyDescent="0.3">
      <c r="A634" t="s">
        <v>1060</v>
      </c>
      <c r="B634" t="s">
        <v>299</v>
      </c>
      <c r="C634" t="s">
        <v>479</v>
      </c>
      <c r="D634" t="s">
        <v>102</v>
      </c>
      <c r="E634" t="s">
        <v>56</v>
      </c>
      <c r="F634" t="s">
        <v>57</v>
      </c>
      <c r="G634" t="s">
        <v>58</v>
      </c>
      <c r="H634" t="s">
        <v>59</v>
      </c>
      <c r="I634" t="s">
        <v>93</v>
      </c>
      <c r="J634" t="s">
        <v>94</v>
      </c>
      <c r="K634" t="s">
        <v>43</v>
      </c>
      <c r="L634">
        <v>4</v>
      </c>
      <c r="M634">
        <v>1400</v>
      </c>
      <c r="N634">
        <v>0</v>
      </c>
      <c r="O634">
        <v>216.44</v>
      </c>
    </row>
    <row r="635" spans="1:15" x14ac:dyDescent="0.3">
      <c r="A635" t="s">
        <v>1061</v>
      </c>
      <c r="B635" t="s">
        <v>260</v>
      </c>
      <c r="C635" t="s">
        <v>466</v>
      </c>
      <c r="D635" t="s">
        <v>39</v>
      </c>
      <c r="E635" t="s">
        <v>113</v>
      </c>
      <c r="F635" t="s">
        <v>114</v>
      </c>
      <c r="G635" t="s">
        <v>115</v>
      </c>
      <c r="H635" t="s">
        <v>40</v>
      </c>
      <c r="I635" t="s">
        <v>50</v>
      </c>
      <c r="J635" t="s">
        <v>51</v>
      </c>
      <c r="K635" t="s">
        <v>25</v>
      </c>
      <c r="L635">
        <v>5</v>
      </c>
      <c r="M635">
        <v>8100</v>
      </c>
      <c r="N635">
        <v>10</v>
      </c>
      <c r="O635">
        <v>688.67</v>
      </c>
    </row>
    <row r="636" spans="1:15" x14ac:dyDescent="0.3">
      <c r="A636" t="s">
        <v>1062</v>
      </c>
      <c r="B636" t="s">
        <v>706</v>
      </c>
      <c r="C636" t="s">
        <v>769</v>
      </c>
      <c r="D636" t="s">
        <v>18</v>
      </c>
      <c r="E636" t="s">
        <v>30</v>
      </c>
      <c r="F636" t="s">
        <v>31</v>
      </c>
      <c r="G636" t="s">
        <v>32</v>
      </c>
      <c r="H636" t="s">
        <v>22</v>
      </c>
      <c r="I636" t="s">
        <v>23</v>
      </c>
      <c r="J636" t="s">
        <v>24</v>
      </c>
      <c r="K636" t="s">
        <v>43</v>
      </c>
      <c r="L636">
        <v>4</v>
      </c>
      <c r="M636">
        <v>24700</v>
      </c>
      <c r="N636">
        <v>5</v>
      </c>
      <c r="O636">
        <v>3764.87</v>
      </c>
    </row>
    <row r="637" spans="1:15" x14ac:dyDescent="0.3">
      <c r="A637" t="s">
        <v>1063</v>
      </c>
      <c r="B637" t="s">
        <v>267</v>
      </c>
      <c r="C637" t="s">
        <v>1064</v>
      </c>
      <c r="D637" t="s">
        <v>80</v>
      </c>
      <c r="E637" t="s">
        <v>48</v>
      </c>
      <c r="F637" t="s">
        <v>20</v>
      </c>
      <c r="G637" t="s">
        <v>49</v>
      </c>
      <c r="H637" t="s">
        <v>33</v>
      </c>
      <c r="I637" t="s">
        <v>68</v>
      </c>
      <c r="J637" t="s">
        <v>133</v>
      </c>
      <c r="K637" t="s">
        <v>81</v>
      </c>
      <c r="L637">
        <v>3</v>
      </c>
      <c r="M637">
        <v>3825</v>
      </c>
      <c r="N637">
        <v>15</v>
      </c>
      <c r="O637">
        <v>439.7</v>
      </c>
    </row>
    <row r="638" spans="1:15" x14ac:dyDescent="0.3">
      <c r="A638" t="s">
        <v>1065</v>
      </c>
      <c r="B638" t="s">
        <v>200</v>
      </c>
      <c r="C638" t="s">
        <v>292</v>
      </c>
      <c r="D638" t="s">
        <v>55</v>
      </c>
      <c r="E638" t="s">
        <v>89</v>
      </c>
      <c r="F638" t="s">
        <v>20</v>
      </c>
      <c r="G638" t="s">
        <v>49</v>
      </c>
      <c r="H638" t="s">
        <v>22</v>
      </c>
      <c r="I638" t="s">
        <v>155</v>
      </c>
      <c r="J638" t="s">
        <v>156</v>
      </c>
      <c r="K638" t="s">
        <v>25</v>
      </c>
      <c r="L638">
        <v>4</v>
      </c>
      <c r="M638">
        <v>3240</v>
      </c>
      <c r="N638">
        <v>10</v>
      </c>
      <c r="O638">
        <v>478.33</v>
      </c>
    </row>
    <row r="639" spans="1:15" x14ac:dyDescent="0.3">
      <c r="A639" t="s">
        <v>1066</v>
      </c>
      <c r="B639" t="s">
        <v>1067</v>
      </c>
      <c r="C639" t="s">
        <v>27</v>
      </c>
      <c r="D639" t="s">
        <v>98</v>
      </c>
      <c r="E639" t="s">
        <v>130</v>
      </c>
      <c r="F639" t="s">
        <v>131</v>
      </c>
      <c r="G639" t="s">
        <v>132</v>
      </c>
      <c r="H639" t="s">
        <v>59</v>
      </c>
      <c r="I639" t="s">
        <v>60</v>
      </c>
      <c r="J639" t="s">
        <v>61</v>
      </c>
      <c r="K639" t="s">
        <v>81</v>
      </c>
      <c r="L639">
        <v>3</v>
      </c>
      <c r="M639">
        <v>1350</v>
      </c>
      <c r="N639">
        <v>0</v>
      </c>
      <c r="O639">
        <v>281.05</v>
      </c>
    </row>
    <row r="640" spans="1:15" x14ac:dyDescent="0.3">
      <c r="A640" t="s">
        <v>1068</v>
      </c>
      <c r="B640" t="s">
        <v>374</v>
      </c>
      <c r="C640" t="s">
        <v>283</v>
      </c>
      <c r="D640" t="s">
        <v>39</v>
      </c>
      <c r="E640" t="s">
        <v>48</v>
      </c>
      <c r="F640" t="s">
        <v>20</v>
      </c>
      <c r="G640" t="s">
        <v>49</v>
      </c>
      <c r="H640" t="s">
        <v>59</v>
      </c>
      <c r="I640" t="s">
        <v>60</v>
      </c>
      <c r="J640" t="s">
        <v>61</v>
      </c>
      <c r="K640" t="s">
        <v>25</v>
      </c>
      <c r="L640">
        <v>2</v>
      </c>
      <c r="M640">
        <v>2700</v>
      </c>
      <c r="N640">
        <v>10</v>
      </c>
      <c r="O640">
        <v>466.41</v>
      </c>
    </row>
    <row r="641" spans="1:15" x14ac:dyDescent="0.3">
      <c r="A641" t="s">
        <v>1069</v>
      </c>
      <c r="B641" t="s">
        <v>557</v>
      </c>
      <c r="C641" t="s">
        <v>766</v>
      </c>
      <c r="D641" t="s">
        <v>29</v>
      </c>
      <c r="E641" t="s">
        <v>130</v>
      </c>
      <c r="F641" t="s">
        <v>131</v>
      </c>
      <c r="G641" t="s">
        <v>132</v>
      </c>
      <c r="H641" t="s">
        <v>40</v>
      </c>
      <c r="I641" t="s">
        <v>41</v>
      </c>
      <c r="J641" t="s">
        <v>42</v>
      </c>
      <c r="K641" t="s">
        <v>62</v>
      </c>
      <c r="L641">
        <v>5</v>
      </c>
      <c r="M641">
        <v>2250</v>
      </c>
      <c r="N641">
        <v>0</v>
      </c>
      <c r="O641">
        <v>410.15</v>
      </c>
    </row>
    <row r="642" spans="1:15" x14ac:dyDescent="0.3">
      <c r="A642" t="s">
        <v>1070</v>
      </c>
      <c r="B642" t="s">
        <v>173</v>
      </c>
      <c r="C642" t="s">
        <v>292</v>
      </c>
      <c r="D642" t="s">
        <v>102</v>
      </c>
      <c r="E642" t="s">
        <v>56</v>
      </c>
      <c r="F642" t="s">
        <v>57</v>
      </c>
      <c r="G642" t="s">
        <v>58</v>
      </c>
      <c r="H642" t="s">
        <v>33</v>
      </c>
      <c r="I642" t="s">
        <v>68</v>
      </c>
      <c r="J642" t="s">
        <v>69</v>
      </c>
      <c r="K642" t="s">
        <v>43</v>
      </c>
      <c r="L642">
        <v>2</v>
      </c>
      <c r="M642">
        <v>560</v>
      </c>
      <c r="N642">
        <v>20</v>
      </c>
      <c r="O642">
        <v>111.4</v>
      </c>
    </row>
    <row r="643" spans="1:15" x14ac:dyDescent="0.3">
      <c r="A643" t="s">
        <v>1071</v>
      </c>
      <c r="B643" t="s">
        <v>37</v>
      </c>
      <c r="C643" t="s">
        <v>231</v>
      </c>
      <c r="D643" t="s">
        <v>73</v>
      </c>
      <c r="E643" t="s">
        <v>66</v>
      </c>
      <c r="F643" t="s">
        <v>20</v>
      </c>
      <c r="G643" t="s">
        <v>67</v>
      </c>
      <c r="H643" t="s">
        <v>33</v>
      </c>
      <c r="I643" t="s">
        <v>68</v>
      </c>
      <c r="J643" t="s">
        <v>69</v>
      </c>
      <c r="K643" t="s">
        <v>25</v>
      </c>
      <c r="L643">
        <v>1</v>
      </c>
      <c r="M643">
        <v>11400</v>
      </c>
      <c r="N643">
        <v>5</v>
      </c>
      <c r="O643">
        <v>1077.73</v>
      </c>
    </row>
    <row r="644" spans="1:15" x14ac:dyDescent="0.3">
      <c r="A644" t="s">
        <v>1072</v>
      </c>
      <c r="B644" t="s">
        <v>320</v>
      </c>
      <c r="C644" t="s">
        <v>365</v>
      </c>
      <c r="D644" t="s">
        <v>55</v>
      </c>
      <c r="E644" t="s">
        <v>56</v>
      </c>
      <c r="F644" t="s">
        <v>57</v>
      </c>
      <c r="G644" t="s">
        <v>58</v>
      </c>
      <c r="H644" t="s">
        <v>59</v>
      </c>
      <c r="I644" t="s">
        <v>93</v>
      </c>
      <c r="J644" t="s">
        <v>94</v>
      </c>
      <c r="K644" t="s">
        <v>62</v>
      </c>
      <c r="L644">
        <v>4</v>
      </c>
      <c r="M644">
        <v>1330</v>
      </c>
      <c r="N644">
        <v>5</v>
      </c>
      <c r="O644">
        <v>242.29</v>
      </c>
    </row>
    <row r="645" spans="1:15" x14ac:dyDescent="0.3">
      <c r="A645" t="s">
        <v>1073</v>
      </c>
      <c r="B645" t="s">
        <v>53</v>
      </c>
      <c r="C645" t="s">
        <v>447</v>
      </c>
      <c r="D645" t="s">
        <v>85</v>
      </c>
      <c r="E645" t="s">
        <v>89</v>
      </c>
      <c r="F645" t="s">
        <v>20</v>
      </c>
      <c r="G645" t="s">
        <v>49</v>
      </c>
      <c r="H645" t="s">
        <v>59</v>
      </c>
      <c r="I645" t="s">
        <v>93</v>
      </c>
      <c r="J645" t="s">
        <v>94</v>
      </c>
      <c r="K645" t="s">
        <v>62</v>
      </c>
      <c r="L645">
        <v>4</v>
      </c>
      <c r="M645">
        <v>3240</v>
      </c>
      <c r="N645">
        <v>10</v>
      </c>
      <c r="O645">
        <v>663.2</v>
      </c>
    </row>
    <row r="646" spans="1:15" x14ac:dyDescent="0.3">
      <c r="A646" t="s">
        <v>1074</v>
      </c>
      <c r="B646" t="s">
        <v>305</v>
      </c>
      <c r="C646" t="s">
        <v>72</v>
      </c>
      <c r="D646" t="s">
        <v>85</v>
      </c>
      <c r="E646" t="s">
        <v>130</v>
      </c>
      <c r="F646" t="s">
        <v>131</v>
      </c>
      <c r="G646" t="s">
        <v>132</v>
      </c>
      <c r="H646" t="s">
        <v>33</v>
      </c>
      <c r="I646" t="s">
        <v>68</v>
      </c>
      <c r="J646" t="s">
        <v>133</v>
      </c>
      <c r="K646" t="s">
        <v>62</v>
      </c>
      <c r="L646">
        <v>5</v>
      </c>
      <c r="M646">
        <v>2250</v>
      </c>
      <c r="N646">
        <v>0</v>
      </c>
      <c r="O646">
        <v>481.94</v>
      </c>
    </row>
    <row r="647" spans="1:15" x14ac:dyDescent="0.3">
      <c r="A647" t="s">
        <v>1075</v>
      </c>
      <c r="B647" t="s">
        <v>101</v>
      </c>
      <c r="C647" t="s">
        <v>408</v>
      </c>
      <c r="D647" t="s">
        <v>85</v>
      </c>
      <c r="E647" t="s">
        <v>56</v>
      </c>
      <c r="F647" t="s">
        <v>57</v>
      </c>
      <c r="G647" t="s">
        <v>58</v>
      </c>
      <c r="H647" t="s">
        <v>59</v>
      </c>
      <c r="I647" t="s">
        <v>60</v>
      </c>
      <c r="J647" t="s">
        <v>61</v>
      </c>
      <c r="K647" t="s">
        <v>25</v>
      </c>
      <c r="L647">
        <v>3</v>
      </c>
      <c r="M647">
        <v>840</v>
      </c>
      <c r="N647">
        <v>20</v>
      </c>
      <c r="O647">
        <v>96.2</v>
      </c>
    </row>
    <row r="648" spans="1:15" x14ac:dyDescent="0.3">
      <c r="A648" t="s">
        <v>1076</v>
      </c>
      <c r="B648" t="s">
        <v>858</v>
      </c>
      <c r="C648" t="s">
        <v>832</v>
      </c>
      <c r="D648" t="s">
        <v>29</v>
      </c>
      <c r="E648" t="s">
        <v>48</v>
      </c>
      <c r="F648" t="s">
        <v>20</v>
      </c>
      <c r="G648" t="s">
        <v>49</v>
      </c>
      <c r="H648" t="s">
        <v>59</v>
      </c>
      <c r="I648" t="s">
        <v>93</v>
      </c>
      <c r="J648" t="s">
        <v>94</v>
      </c>
      <c r="K648" t="s">
        <v>25</v>
      </c>
      <c r="L648">
        <v>1</v>
      </c>
      <c r="M648">
        <v>1275</v>
      </c>
      <c r="N648">
        <v>15</v>
      </c>
      <c r="O648">
        <v>163.41999999999999</v>
      </c>
    </row>
    <row r="649" spans="1:15" x14ac:dyDescent="0.3">
      <c r="A649" t="s">
        <v>1077</v>
      </c>
      <c r="B649" t="s">
        <v>333</v>
      </c>
      <c r="C649" t="s">
        <v>352</v>
      </c>
      <c r="D649" t="s">
        <v>55</v>
      </c>
      <c r="E649" t="s">
        <v>56</v>
      </c>
      <c r="F649" t="s">
        <v>57</v>
      </c>
      <c r="G649" t="s">
        <v>58</v>
      </c>
      <c r="H649" t="s">
        <v>33</v>
      </c>
      <c r="I649" t="s">
        <v>68</v>
      </c>
      <c r="J649" t="s">
        <v>69</v>
      </c>
      <c r="K649" t="s">
        <v>62</v>
      </c>
      <c r="L649">
        <v>5</v>
      </c>
      <c r="M649">
        <v>1662.5</v>
      </c>
      <c r="N649">
        <v>5</v>
      </c>
      <c r="O649">
        <v>234.8</v>
      </c>
    </row>
    <row r="650" spans="1:15" x14ac:dyDescent="0.3">
      <c r="A650" t="s">
        <v>1078</v>
      </c>
      <c r="B650" t="s">
        <v>797</v>
      </c>
      <c r="C650" t="s">
        <v>150</v>
      </c>
      <c r="D650" t="s">
        <v>102</v>
      </c>
      <c r="E650" t="s">
        <v>106</v>
      </c>
      <c r="F650" t="s">
        <v>20</v>
      </c>
      <c r="G650" t="s">
        <v>49</v>
      </c>
      <c r="H650" t="s">
        <v>40</v>
      </c>
      <c r="I650" t="s">
        <v>50</v>
      </c>
      <c r="J650" t="s">
        <v>51</v>
      </c>
      <c r="K650" t="s">
        <v>62</v>
      </c>
      <c r="L650">
        <v>1</v>
      </c>
      <c r="M650">
        <v>1980</v>
      </c>
      <c r="N650">
        <v>10</v>
      </c>
      <c r="O650">
        <v>351.24</v>
      </c>
    </row>
    <row r="651" spans="1:15" x14ac:dyDescent="0.3">
      <c r="A651" t="s">
        <v>1079</v>
      </c>
      <c r="B651" t="s">
        <v>783</v>
      </c>
      <c r="C651" t="s">
        <v>247</v>
      </c>
      <c r="D651" t="s">
        <v>98</v>
      </c>
      <c r="E651" t="s">
        <v>66</v>
      </c>
      <c r="F651" t="s">
        <v>20</v>
      </c>
      <c r="G651" t="s">
        <v>67</v>
      </c>
      <c r="H651" t="s">
        <v>33</v>
      </c>
      <c r="I651" t="s">
        <v>34</v>
      </c>
      <c r="J651" t="s">
        <v>35</v>
      </c>
      <c r="K651" t="s">
        <v>25</v>
      </c>
      <c r="L651">
        <v>5</v>
      </c>
      <c r="M651">
        <v>57000</v>
      </c>
      <c r="N651">
        <v>5</v>
      </c>
      <c r="O651">
        <v>5678.92</v>
      </c>
    </row>
    <row r="652" spans="1:15" x14ac:dyDescent="0.3">
      <c r="A652" t="s">
        <v>1080</v>
      </c>
      <c r="B652" t="s">
        <v>285</v>
      </c>
      <c r="C652" t="s">
        <v>722</v>
      </c>
      <c r="D652" t="s">
        <v>80</v>
      </c>
      <c r="E652" t="s">
        <v>106</v>
      </c>
      <c r="F652" t="s">
        <v>20</v>
      </c>
      <c r="G652" t="s">
        <v>49</v>
      </c>
      <c r="H652" t="s">
        <v>59</v>
      </c>
      <c r="I652" t="s">
        <v>60</v>
      </c>
      <c r="J652" t="s">
        <v>61</v>
      </c>
      <c r="K652" t="s">
        <v>62</v>
      </c>
      <c r="L652">
        <v>4</v>
      </c>
      <c r="M652">
        <v>7480</v>
      </c>
      <c r="N652">
        <v>15</v>
      </c>
      <c r="O652">
        <v>1017.5</v>
      </c>
    </row>
    <row r="653" spans="1:15" x14ac:dyDescent="0.3">
      <c r="A653" t="s">
        <v>1081</v>
      </c>
      <c r="B653" t="s">
        <v>183</v>
      </c>
      <c r="C653" t="s">
        <v>184</v>
      </c>
      <c r="D653" t="s">
        <v>73</v>
      </c>
      <c r="E653" t="s">
        <v>130</v>
      </c>
      <c r="F653" t="s">
        <v>131</v>
      </c>
      <c r="G653" t="s">
        <v>132</v>
      </c>
      <c r="H653" t="s">
        <v>33</v>
      </c>
      <c r="I653" t="s">
        <v>68</v>
      </c>
      <c r="J653" t="s">
        <v>69</v>
      </c>
      <c r="K653" t="s">
        <v>43</v>
      </c>
      <c r="L653">
        <v>1</v>
      </c>
      <c r="M653">
        <v>382.5</v>
      </c>
      <c r="N653">
        <v>15</v>
      </c>
      <c r="O653">
        <v>47.93</v>
      </c>
    </row>
    <row r="654" spans="1:15" x14ac:dyDescent="0.3">
      <c r="A654" t="s">
        <v>1082</v>
      </c>
      <c r="B654" t="s">
        <v>440</v>
      </c>
      <c r="C654" t="s">
        <v>173</v>
      </c>
      <c r="D654" t="s">
        <v>29</v>
      </c>
      <c r="E654" t="s">
        <v>48</v>
      </c>
      <c r="F654" t="s">
        <v>20</v>
      </c>
      <c r="G654" t="s">
        <v>49</v>
      </c>
      <c r="H654" t="s">
        <v>59</v>
      </c>
      <c r="I654" t="s">
        <v>60</v>
      </c>
      <c r="J654" t="s">
        <v>61</v>
      </c>
      <c r="K654" t="s">
        <v>25</v>
      </c>
      <c r="L654">
        <v>3</v>
      </c>
      <c r="M654">
        <v>3600</v>
      </c>
      <c r="N654">
        <v>20</v>
      </c>
      <c r="O654">
        <v>680.19</v>
      </c>
    </row>
    <row r="655" spans="1:15" x14ac:dyDescent="0.3">
      <c r="A655" t="s">
        <v>1083</v>
      </c>
      <c r="B655" t="s">
        <v>685</v>
      </c>
      <c r="C655" t="s">
        <v>277</v>
      </c>
      <c r="D655" t="s">
        <v>73</v>
      </c>
      <c r="E655" t="s">
        <v>119</v>
      </c>
      <c r="F655" t="s">
        <v>31</v>
      </c>
      <c r="G655" t="s">
        <v>120</v>
      </c>
      <c r="H655" t="s">
        <v>40</v>
      </c>
      <c r="I655" t="s">
        <v>41</v>
      </c>
      <c r="J655" t="s">
        <v>42</v>
      </c>
      <c r="K655" t="s">
        <v>62</v>
      </c>
      <c r="L655">
        <v>3</v>
      </c>
      <c r="M655">
        <v>24225</v>
      </c>
      <c r="N655">
        <v>5</v>
      </c>
      <c r="O655">
        <v>4497.25</v>
      </c>
    </row>
    <row r="656" spans="1:15" x14ac:dyDescent="0.3">
      <c r="A656" t="s">
        <v>1084</v>
      </c>
      <c r="B656" t="s">
        <v>575</v>
      </c>
      <c r="C656" t="s">
        <v>97</v>
      </c>
      <c r="D656" t="s">
        <v>47</v>
      </c>
      <c r="E656" t="s">
        <v>66</v>
      </c>
      <c r="F656" t="s">
        <v>20</v>
      </c>
      <c r="G656" t="s">
        <v>67</v>
      </c>
      <c r="H656" t="s">
        <v>33</v>
      </c>
      <c r="I656" t="s">
        <v>34</v>
      </c>
      <c r="J656" t="s">
        <v>35</v>
      </c>
      <c r="K656" t="s">
        <v>81</v>
      </c>
      <c r="L656">
        <v>3</v>
      </c>
      <c r="M656">
        <v>34200</v>
      </c>
      <c r="N656">
        <v>5</v>
      </c>
      <c r="O656">
        <v>5614.37</v>
      </c>
    </row>
    <row r="657" spans="1:15" x14ac:dyDescent="0.3">
      <c r="A657" t="s">
        <v>1085</v>
      </c>
      <c r="B657" t="s">
        <v>577</v>
      </c>
      <c r="C657" t="s">
        <v>200</v>
      </c>
      <c r="D657" t="s">
        <v>55</v>
      </c>
      <c r="E657" t="s">
        <v>106</v>
      </c>
      <c r="F657" t="s">
        <v>20</v>
      </c>
      <c r="G657" t="s">
        <v>49</v>
      </c>
      <c r="H657" t="s">
        <v>40</v>
      </c>
      <c r="I657" t="s">
        <v>41</v>
      </c>
      <c r="J657" t="s">
        <v>42</v>
      </c>
      <c r="K657" t="s">
        <v>25</v>
      </c>
      <c r="L657">
        <v>5</v>
      </c>
      <c r="M657">
        <v>11000</v>
      </c>
      <c r="N657">
        <v>0</v>
      </c>
      <c r="O657">
        <v>2299.54</v>
      </c>
    </row>
    <row r="658" spans="1:15" x14ac:dyDescent="0.3">
      <c r="A658" t="s">
        <v>1086</v>
      </c>
      <c r="B658" t="s">
        <v>707</v>
      </c>
      <c r="C658" t="s">
        <v>769</v>
      </c>
      <c r="D658" t="s">
        <v>73</v>
      </c>
      <c r="E658" t="s">
        <v>106</v>
      </c>
      <c r="F658" t="s">
        <v>20</v>
      </c>
      <c r="G658" t="s">
        <v>49</v>
      </c>
      <c r="H658" t="s">
        <v>22</v>
      </c>
      <c r="I658" t="s">
        <v>23</v>
      </c>
      <c r="J658" t="s">
        <v>24</v>
      </c>
      <c r="K658" t="s">
        <v>81</v>
      </c>
      <c r="L658">
        <v>4</v>
      </c>
      <c r="M658">
        <v>8800</v>
      </c>
      <c r="N658">
        <v>0</v>
      </c>
      <c r="O658">
        <v>972.19</v>
      </c>
    </row>
    <row r="659" spans="1:15" x14ac:dyDescent="0.3">
      <c r="A659" t="s">
        <v>1087</v>
      </c>
      <c r="B659" t="s">
        <v>664</v>
      </c>
      <c r="C659" t="s">
        <v>562</v>
      </c>
      <c r="D659" t="s">
        <v>98</v>
      </c>
      <c r="E659" t="s">
        <v>113</v>
      </c>
      <c r="F659" t="s">
        <v>114</v>
      </c>
      <c r="G659" t="s">
        <v>115</v>
      </c>
      <c r="H659" t="s">
        <v>40</v>
      </c>
      <c r="I659" t="s">
        <v>41</v>
      </c>
      <c r="J659" t="s">
        <v>42</v>
      </c>
      <c r="K659" t="s">
        <v>81</v>
      </c>
      <c r="L659">
        <v>1</v>
      </c>
      <c r="M659">
        <v>1800</v>
      </c>
      <c r="N659">
        <v>0</v>
      </c>
      <c r="O659">
        <v>182.88</v>
      </c>
    </row>
    <row r="660" spans="1:15" x14ac:dyDescent="0.3">
      <c r="A660" t="s">
        <v>1088</v>
      </c>
      <c r="B660" t="s">
        <v>220</v>
      </c>
      <c r="C660" t="s">
        <v>629</v>
      </c>
      <c r="D660" t="s">
        <v>98</v>
      </c>
      <c r="E660" t="s">
        <v>89</v>
      </c>
      <c r="F660" t="s">
        <v>20</v>
      </c>
      <c r="G660" t="s">
        <v>49</v>
      </c>
      <c r="H660" t="s">
        <v>40</v>
      </c>
      <c r="I660" t="s">
        <v>41</v>
      </c>
      <c r="J660" t="s">
        <v>42</v>
      </c>
      <c r="K660" t="s">
        <v>81</v>
      </c>
      <c r="L660">
        <v>1</v>
      </c>
      <c r="M660">
        <v>810</v>
      </c>
      <c r="N660">
        <v>10</v>
      </c>
      <c r="O660">
        <v>112.68</v>
      </c>
    </row>
    <row r="661" spans="1:15" x14ac:dyDescent="0.3">
      <c r="A661" t="s">
        <v>1089</v>
      </c>
      <c r="B661" t="s">
        <v>793</v>
      </c>
      <c r="C661" t="s">
        <v>277</v>
      </c>
      <c r="D661" t="s">
        <v>85</v>
      </c>
      <c r="E661" t="s">
        <v>30</v>
      </c>
      <c r="F661" t="s">
        <v>31</v>
      </c>
      <c r="G661" t="s">
        <v>32</v>
      </c>
      <c r="H661" t="s">
        <v>33</v>
      </c>
      <c r="I661" t="s">
        <v>68</v>
      </c>
      <c r="J661" t="s">
        <v>133</v>
      </c>
      <c r="K661" t="s">
        <v>81</v>
      </c>
      <c r="L661">
        <v>2</v>
      </c>
      <c r="M661">
        <v>11700</v>
      </c>
      <c r="N661">
        <v>10</v>
      </c>
      <c r="O661">
        <v>1613.72</v>
      </c>
    </row>
    <row r="662" spans="1:15" x14ac:dyDescent="0.3">
      <c r="A662" t="s">
        <v>1090</v>
      </c>
      <c r="B662" t="s">
        <v>220</v>
      </c>
      <c r="C662" t="s">
        <v>629</v>
      </c>
      <c r="D662" t="s">
        <v>39</v>
      </c>
      <c r="E662" t="s">
        <v>89</v>
      </c>
      <c r="F662" t="s">
        <v>20</v>
      </c>
      <c r="G662" t="s">
        <v>49</v>
      </c>
      <c r="H662" t="s">
        <v>40</v>
      </c>
      <c r="I662" t="s">
        <v>41</v>
      </c>
      <c r="J662" t="s">
        <v>42</v>
      </c>
      <c r="K662" t="s">
        <v>62</v>
      </c>
      <c r="L662">
        <v>3</v>
      </c>
      <c r="M662">
        <v>2160</v>
      </c>
      <c r="N662">
        <v>20</v>
      </c>
      <c r="O662">
        <v>215.92</v>
      </c>
    </row>
    <row r="663" spans="1:15" x14ac:dyDescent="0.3">
      <c r="A663" t="s">
        <v>1091</v>
      </c>
      <c r="B663" t="s">
        <v>368</v>
      </c>
      <c r="C663" t="s">
        <v>463</v>
      </c>
      <c r="D663" t="s">
        <v>55</v>
      </c>
      <c r="E663" t="s">
        <v>113</v>
      </c>
      <c r="F663" t="s">
        <v>114</v>
      </c>
      <c r="G663" t="s">
        <v>115</v>
      </c>
      <c r="H663" t="s">
        <v>59</v>
      </c>
      <c r="I663" t="s">
        <v>93</v>
      </c>
      <c r="J663" t="s">
        <v>94</v>
      </c>
      <c r="K663" t="s">
        <v>81</v>
      </c>
      <c r="L663">
        <v>3</v>
      </c>
      <c r="M663">
        <v>4320</v>
      </c>
      <c r="N663">
        <v>20</v>
      </c>
      <c r="O663">
        <v>425.32</v>
      </c>
    </row>
    <row r="664" spans="1:15" x14ac:dyDescent="0.3">
      <c r="A664" t="s">
        <v>1092</v>
      </c>
      <c r="B664" t="s">
        <v>204</v>
      </c>
      <c r="C664" t="s">
        <v>299</v>
      </c>
      <c r="D664" t="s">
        <v>47</v>
      </c>
      <c r="E664" t="s">
        <v>113</v>
      </c>
      <c r="F664" t="s">
        <v>114</v>
      </c>
      <c r="G664" t="s">
        <v>115</v>
      </c>
      <c r="H664" t="s">
        <v>59</v>
      </c>
      <c r="I664" t="s">
        <v>93</v>
      </c>
      <c r="J664" t="s">
        <v>94</v>
      </c>
      <c r="K664" t="s">
        <v>62</v>
      </c>
      <c r="L664">
        <v>4</v>
      </c>
      <c r="M664">
        <v>7200</v>
      </c>
      <c r="N664">
        <v>0</v>
      </c>
      <c r="O664">
        <v>1314.04</v>
      </c>
    </row>
    <row r="665" spans="1:15" x14ac:dyDescent="0.3">
      <c r="A665" t="s">
        <v>1093</v>
      </c>
      <c r="B665" t="s">
        <v>962</v>
      </c>
      <c r="C665" t="s">
        <v>277</v>
      </c>
      <c r="D665" t="s">
        <v>102</v>
      </c>
      <c r="E665" t="s">
        <v>30</v>
      </c>
      <c r="F665" t="s">
        <v>31</v>
      </c>
      <c r="G665" t="s">
        <v>32</v>
      </c>
      <c r="H665" t="s">
        <v>33</v>
      </c>
      <c r="I665" t="s">
        <v>68</v>
      </c>
      <c r="J665" t="s">
        <v>133</v>
      </c>
      <c r="K665" t="s">
        <v>43</v>
      </c>
      <c r="L665">
        <v>1</v>
      </c>
      <c r="M665">
        <v>5850</v>
      </c>
      <c r="N665">
        <v>10</v>
      </c>
      <c r="O665">
        <v>1197.49</v>
      </c>
    </row>
    <row r="666" spans="1:15" x14ac:dyDescent="0.3">
      <c r="A666" t="s">
        <v>1094</v>
      </c>
      <c r="B666" t="s">
        <v>314</v>
      </c>
      <c r="C666" t="s">
        <v>557</v>
      </c>
      <c r="D666" t="s">
        <v>39</v>
      </c>
      <c r="E666" t="s">
        <v>113</v>
      </c>
      <c r="F666" t="s">
        <v>114</v>
      </c>
      <c r="G666" t="s">
        <v>115</v>
      </c>
      <c r="H666" t="s">
        <v>59</v>
      </c>
      <c r="I666" t="s">
        <v>60</v>
      </c>
      <c r="J666" t="s">
        <v>61</v>
      </c>
      <c r="K666" t="s">
        <v>62</v>
      </c>
      <c r="L666">
        <v>4</v>
      </c>
      <c r="M666">
        <v>5760</v>
      </c>
      <c r="N666">
        <v>20</v>
      </c>
      <c r="O666">
        <v>1040.48</v>
      </c>
    </row>
    <row r="667" spans="1:15" x14ac:dyDescent="0.3">
      <c r="A667" t="s">
        <v>1095</v>
      </c>
      <c r="B667" t="s">
        <v>421</v>
      </c>
      <c r="C667" t="s">
        <v>433</v>
      </c>
      <c r="D667" t="s">
        <v>85</v>
      </c>
      <c r="E667" t="s">
        <v>66</v>
      </c>
      <c r="F667" t="s">
        <v>20</v>
      </c>
      <c r="G667" t="s">
        <v>67</v>
      </c>
      <c r="H667" t="s">
        <v>59</v>
      </c>
      <c r="I667" t="s">
        <v>93</v>
      </c>
      <c r="J667" t="s">
        <v>94</v>
      </c>
      <c r="K667" t="s">
        <v>81</v>
      </c>
      <c r="L667">
        <v>3</v>
      </c>
      <c r="M667">
        <v>30600</v>
      </c>
      <c r="N667">
        <v>15</v>
      </c>
      <c r="O667">
        <v>6543.35</v>
      </c>
    </row>
    <row r="668" spans="1:15" x14ac:dyDescent="0.3">
      <c r="A668" t="s">
        <v>1096</v>
      </c>
      <c r="B668" t="s">
        <v>1013</v>
      </c>
      <c r="C668" t="s">
        <v>552</v>
      </c>
      <c r="D668" t="s">
        <v>73</v>
      </c>
      <c r="E668" t="s">
        <v>106</v>
      </c>
      <c r="F668" t="s">
        <v>20</v>
      </c>
      <c r="G668" t="s">
        <v>49</v>
      </c>
      <c r="H668" t="s">
        <v>40</v>
      </c>
      <c r="I668" t="s">
        <v>41</v>
      </c>
      <c r="J668" t="s">
        <v>42</v>
      </c>
      <c r="K668" t="s">
        <v>43</v>
      </c>
      <c r="L668">
        <v>4</v>
      </c>
      <c r="M668">
        <v>7480</v>
      </c>
      <c r="N668">
        <v>15</v>
      </c>
      <c r="O668">
        <v>623.66999999999996</v>
      </c>
    </row>
    <row r="669" spans="1:15" x14ac:dyDescent="0.3">
      <c r="A669" t="s">
        <v>1097</v>
      </c>
      <c r="B669" t="s">
        <v>406</v>
      </c>
      <c r="C669" t="s">
        <v>631</v>
      </c>
      <c r="D669" t="s">
        <v>55</v>
      </c>
      <c r="E669" t="s">
        <v>130</v>
      </c>
      <c r="F669" t="s">
        <v>131</v>
      </c>
      <c r="G669" t="s">
        <v>132</v>
      </c>
      <c r="H669" t="s">
        <v>22</v>
      </c>
      <c r="I669" t="s">
        <v>155</v>
      </c>
      <c r="J669" t="s">
        <v>156</v>
      </c>
      <c r="K669" t="s">
        <v>62</v>
      </c>
      <c r="L669">
        <v>2</v>
      </c>
      <c r="M669">
        <v>765</v>
      </c>
      <c r="N669">
        <v>15</v>
      </c>
      <c r="O669">
        <v>107.1</v>
      </c>
    </row>
    <row r="670" spans="1:15" x14ac:dyDescent="0.3">
      <c r="A670" t="s">
        <v>1098</v>
      </c>
      <c r="B670" t="s">
        <v>627</v>
      </c>
      <c r="C670" t="s">
        <v>141</v>
      </c>
      <c r="D670" t="s">
        <v>55</v>
      </c>
      <c r="E670" t="s">
        <v>48</v>
      </c>
      <c r="F670" t="s">
        <v>20</v>
      </c>
      <c r="G670" t="s">
        <v>49</v>
      </c>
      <c r="H670" t="s">
        <v>22</v>
      </c>
      <c r="I670" t="s">
        <v>23</v>
      </c>
      <c r="J670" t="s">
        <v>24</v>
      </c>
      <c r="K670" t="s">
        <v>25</v>
      </c>
      <c r="L670">
        <v>5</v>
      </c>
      <c r="M670">
        <v>7500</v>
      </c>
      <c r="N670">
        <v>0</v>
      </c>
      <c r="O670">
        <v>694.82</v>
      </c>
    </row>
    <row r="671" spans="1:15" x14ac:dyDescent="0.3">
      <c r="A671" t="s">
        <v>1099</v>
      </c>
      <c r="B671" t="s">
        <v>269</v>
      </c>
      <c r="C671" t="s">
        <v>623</v>
      </c>
      <c r="D671" t="s">
        <v>80</v>
      </c>
      <c r="E671" t="s">
        <v>56</v>
      </c>
      <c r="F671" t="s">
        <v>57</v>
      </c>
      <c r="G671" t="s">
        <v>58</v>
      </c>
      <c r="H671" t="s">
        <v>59</v>
      </c>
      <c r="I671" t="s">
        <v>60</v>
      </c>
      <c r="J671" t="s">
        <v>61</v>
      </c>
      <c r="K671" t="s">
        <v>81</v>
      </c>
      <c r="L671">
        <v>4</v>
      </c>
      <c r="M671">
        <v>1400</v>
      </c>
      <c r="N671">
        <v>0</v>
      </c>
      <c r="O671">
        <v>257.52999999999997</v>
      </c>
    </row>
    <row r="672" spans="1:15" x14ac:dyDescent="0.3">
      <c r="A672" t="s">
        <v>1100</v>
      </c>
      <c r="B672" t="s">
        <v>419</v>
      </c>
      <c r="C672" t="s">
        <v>277</v>
      </c>
      <c r="D672" t="s">
        <v>47</v>
      </c>
      <c r="E672" t="s">
        <v>48</v>
      </c>
      <c r="F672" t="s">
        <v>20</v>
      </c>
      <c r="G672" t="s">
        <v>49</v>
      </c>
      <c r="H672" t="s">
        <v>33</v>
      </c>
      <c r="I672" t="s">
        <v>68</v>
      </c>
      <c r="J672" t="s">
        <v>69</v>
      </c>
      <c r="K672" t="s">
        <v>62</v>
      </c>
      <c r="L672">
        <v>4</v>
      </c>
      <c r="M672">
        <v>5400</v>
      </c>
      <c r="N672">
        <v>10</v>
      </c>
      <c r="O672">
        <v>875.98</v>
      </c>
    </row>
    <row r="673" spans="1:15" x14ac:dyDescent="0.3">
      <c r="A673" t="s">
        <v>1101</v>
      </c>
      <c r="B673" t="s">
        <v>394</v>
      </c>
      <c r="C673" t="s">
        <v>855</v>
      </c>
      <c r="D673" t="s">
        <v>18</v>
      </c>
      <c r="E673" t="s">
        <v>66</v>
      </c>
      <c r="F673" t="s">
        <v>20</v>
      </c>
      <c r="G673" t="s">
        <v>67</v>
      </c>
      <c r="H673" t="s">
        <v>22</v>
      </c>
      <c r="I673" t="s">
        <v>23</v>
      </c>
      <c r="J673" t="s">
        <v>24</v>
      </c>
      <c r="K673" t="s">
        <v>62</v>
      </c>
      <c r="L673">
        <v>3</v>
      </c>
      <c r="M673">
        <v>30600</v>
      </c>
      <c r="N673">
        <v>15</v>
      </c>
      <c r="O673">
        <v>4774.7700000000004</v>
      </c>
    </row>
    <row r="674" spans="1:15" x14ac:dyDescent="0.3">
      <c r="A674" t="s">
        <v>1102</v>
      </c>
      <c r="B674" t="s">
        <v>38</v>
      </c>
      <c r="C674" t="s">
        <v>355</v>
      </c>
      <c r="D674" t="s">
        <v>29</v>
      </c>
      <c r="E674" t="s">
        <v>56</v>
      </c>
      <c r="F674" t="s">
        <v>57</v>
      </c>
      <c r="G674" t="s">
        <v>58</v>
      </c>
      <c r="H674" t="s">
        <v>33</v>
      </c>
      <c r="I674" t="s">
        <v>68</v>
      </c>
      <c r="J674" t="s">
        <v>69</v>
      </c>
      <c r="K674" t="s">
        <v>81</v>
      </c>
      <c r="L674">
        <v>1</v>
      </c>
      <c r="M674">
        <v>332.5</v>
      </c>
      <c r="N674">
        <v>5</v>
      </c>
      <c r="O674">
        <v>45.4</v>
      </c>
    </row>
    <row r="675" spans="1:15" x14ac:dyDescent="0.3">
      <c r="A675" t="s">
        <v>1103</v>
      </c>
      <c r="B675" t="s">
        <v>547</v>
      </c>
      <c r="C675" t="s">
        <v>497</v>
      </c>
      <c r="D675" t="s">
        <v>73</v>
      </c>
      <c r="E675" t="s">
        <v>19</v>
      </c>
      <c r="F675" t="s">
        <v>20</v>
      </c>
      <c r="G675" t="s">
        <v>21</v>
      </c>
      <c r="H675" t="s">
        <v>40</v>
      </c>
      <c r="I675" t="s">
        <v>50</v>
      </c>
      <c r="J675" t="s">
        <v>51</v>
      </c>
      <c r="K675" t="s">
        <v>81</v>
      </c>
      <c r="L675">
        <v>2</v>
      </c>
      <c r="M675">
        <v>104500</v>
      </c>
      <c r="N675">
        <v>5</v>
      </c>
      <c r="O675">
        <v>22940.67</v>
      </c>
    </row>
    <row r="676" spans="1:15" x14ac:dyDescent="0.3">
      <c r="A676" t="s">
        <v>1104</v>
      </c>
      <c r="B676" t="s">
        <v>148</v>
      </c>
      <c r="C676" t="s">
        <v>1105</v>
      </c>
      <c r="D676" t="s">
        <v>18</v>
      </c>
      <c r="E676" t="s">
        <v>56</v>
      </c>
      <c r="F676" t="s">
        <v>57</v>
      </c>
      <c r="G676" t="s">
        <v>58</v>
      </c>
      <c r="H676" t="s">
        <v>33</v>
      </c>
      <c r="I676" t="s">
        <v>34</v>
      </c>
      <c r="J676" t="s">
        <v>35</v>
      </c>
      <c r="K676" t="s">
        <v>25</v>
      </c>
      <c r="L676">
        <v>5</v>
      </c>
      <c r="M676">
        <v>1662.5</v>
      </c>
      <c r="N676">
        <v>5</v>
      </c>
      <c r="O676">
        <v>328.29</v>
      </c>
    </row>
    <row r="677" spans="1:15" x14ac:dyDescent="0.3">
      <c r="A677" t="s">
        <v>1106</v>
      </c>
      <c r="B677" t="s">
        <v>837</v>
      </c>
      <c r="C677" t="s">
        <v>793</v>
      </c>
      <c r="D677" t="s">
        <v>29</v>
      </c>
      <c r="E677" t="s">
        <v>56</v>
      </c>
      <c r="F677" t="s">
        <v>57</v>
      </c>
      <c r="G677" t="s">
        <v>58</v>
      </c>
      <c r="H677" t="s">
        <v>40</v>
      </c>
      <c r="I677" t="s">
        <v>50</v>
      </c>
      <c r="J677" t="s">
        <v>51</v>
      </c>
      <c r="K677" t="s">
        <v>25</v>
      </c>
      <c r="L677">
        <v>3</v>
      </c>
      <c r="M677">
        <v>840</v>
      </c>
      <c r="N677">
        <v>20</v>
      </c>
      <c r="O677">
        <v>169.01</v>
      </c>
    </row>
    <row r="678" spans="1:15" x14ac:dyDescent="0.3">
      <c r="A678" t="s">
        <v>1107</v>
      </c>
      <c r="B678" t="s">
        <v>797</v>
      </c>
      <c r="C678" t="s">
        <v>153</v>
      </c>
      <c r="D678" t="s">
        <v>102</v>
      </c>
      <c r="E678" t="s">
        <v>106</v>
      </c>
      <c r="F678" t="s">
        <v>20</v>
      </c>
      <c r="G678" t="s">
        <v>49</v>
      </c>
      <c r="H678" t="s">
        <v>22</v>
      </c>
      <c r="I678" t="s">
        <v>23</v>
      </c>
      <c r="J678" t="s">
        <v>24</v>
      </c>
      <c r="K678" t="s">
        <v>25</v>
      </c>
      <c r="L678">
        <v>3</v>
      </c>
      <c r="M678">
        <v>6270</v>
      </c>
      <c r="N678">
        <v>5</v>
      </c>
      <c r="O678">
        <v>547.72</v>
      </c>
    </row>
    <row r="679" spans="1:15" x14ac:dyDescent="0.3">
      <c r="A679" t="s">
        <v>1108</v>
      </c>
      <c r="B679" t="s">
        <v>352</v>
      </c>
      <c r="C679" t="s">
        <v>128</v>
      </c>
      <c r="D679" t="s">
        <v>39</v>
      </c>
      <c r="E679" t="s">
        <v>19</v>
      </c>
      <c r="F679" t="s">
        <v>20</v>
      </c>
      <c r="G679" t="s">
        <v>21</v>
      </c>
      <c r="H679" t="s">
        <v>33</v>
      </c>
      <c r="I679" t="s">
        <v>68</v>
      </c>
      <c r="J679" t="s">
        <v>69</v>
      </c>
      <c r="K679" t="s">
        <v>81</v>
      </c>
      <c r="L679">
        <v>3</v>
      </c>
      <c r="M679">
        <v>132000</v>
      </c>
      <c r="N679">
        <v>20</v>
      </c>
      <c r="O679">
        <v>26345.31</v>
      </c>
    </row>
    <row r="680" spans="1:15" x14ac:dyDescent="0.3">
      <c r="A680" t="s">
        <v>1109</v>
      </c>
      <c r="B680" t="s">
        <v>599</v>
      </c>
      <c r="C680" t="s">
        <v>568</v>
      </c>
      <c r="D680" t="s">
        <v>85</v>
      </c>
      <c r="E680" t="s">
        <v>119</v>
      </c>
      <c r="F680" t="s">
        <v>31</v>
      </c>
      <c r="G680" t="s">
        <v>120</v>
      </c>
      <c r="H680" t="s">
        <v>40</v>
      </c>
      <c r="I680" t="s">
        <v>50</v>
      </c>
      <c r="J680" t="s">
        <v>51</v>
      </c>
      <c r="K680" t="s">
        <v>62</v>
      </c>
      <c r="L680">
        <v>1</v>
      </c>
      <c r="M680">
        <v>7225</v>
      </c>
      <c r="N680">
        <v>15</v>
      </c>
      <c r="O680">
        <v>1434.41</v>
      </c>
    </row>
    <row r="681" spans="1:15" x14ac:dyDescent="0.3">
      <c r="A681" t="s">
        <v>1110</v>
      </c>
      <c r="B681" t="s">
        <v>269</v>
      </c>
      <c r="C681" t="s">
        <v>623</v>
      </c>
      <c r="D681" t="s">
        <v>29</v>
      </c>
      <c r="E681" t="s">
        <v>19</v>
      </c>
      <c r="F681" t="s">
        <v>20</v>
      </c>
      <c r="G681" t="s">
        <v>21</v>
      </c>
      <c r="H681" t="s">
        <v>59</v>
      </c>
      <c r="I681" t="s">
        <v>93</v>
      </c>
      <c r="J681" t="s">
        <v>94</v>
      </c>
      <c r="K681" t="s">
        <v>62</v>
      </c>
      <c r="L681">
        <v>4</v>
      </c>
      <c r="M681">
        <v>198000</v>
      </c>
      <c r="N681">
        <v>10</v>
      </c>
      <c r="O681">
        <v>16054.53</v>
      </c>
    </row>
    <row r="682" spans="1:15" x14ac:dyDescent="0.3">
      <c r="A682" t="s">
        <v>1111</v>
      </c>
      <c r="B682" t="s">
        <v>460</v>
      </c>
      <c r="C682" t="s">
        <v>274</v>
      </c>
      <c r="D682" t="s">
        <v>18</v>
      </c>
      <c r="E682" t="s">
        <v>113</v>
      </c>
      <c r="F682" t="s">
        <v>114</v>
      </c>
      <c r="G682" t="s">
        <v>115</v>
      </c>
      <c r="H682" t="s">
        <v>22</v>
      </c>
      <c r="I682" t="s">
        <v>155</v>
      </c>
      <c r="J682" t="s">
        <v>156</v>
      </c>
      <c r="K682" t="s">
        <v>43</v>
      </c>
      <c r="L682">
        <v>1</v>
      </c>
      <c r="M682">
        <v>1800</v>
      </c>
      <c r="N682">
        <v>0</v>
      </c>
      <c r="O682">
        <v>182.28</v>
      </c>
    </row>
    <row r="683" spans="1:15" x14ac:dyDescent="0.3">
      <c r="A683" t="s">
        <v>1112</v>
      </c>
      <c r="B683" t="s">
        <v>419</v>
      </c>
      <c r="C683" t="s">
        <v>685</v>
      </c>
      <c r="D683" t="s">
        <v>29</v>
      </c>
      <c r="E683" t="s">
        <v>130</v>
      </c>
      <c r="F683" t="s">
        <v>131</v>
      </c>
      <c r="G683" t="s">
        <v>132</v>
      </c>
      <c r="H683" t="s">
        <v>59</v>
      </c>
      <c r="I683" t="s">
        <v>93</v>
      </c>
      <c r="J683" t="s">
        <v>94</v>
      </c>
      <c r="K683" t="s">
        <v>81</v>
      </c>
      <c r="L683">
        <v>4</v>
      </c>
      <c r="M683">
        <v>1440</v>
      </c>
      <c r="N683">
        <v>20</v>
      </c>
      <c r="O683">
        <v>122.79</v>
      </c>
    </row>
    <row r="684" spans="1:15" x14ac:dyDescent="0.3">
      <c r="A684" t="s">
        <v>1113</v>
      </c>
      <c r="B684" t="s">
        <v>192</v>
      </c>
      <c r="C684" t="s">
        <v>374</v>
      </c>
      <c r="D684" t="s">
        <v>80</v>
      </c>
      <c r="E684" t="s">
        <v>48</v>
      </c>
      <c r="F684" t="s">
        <v>20</v>
      </c>
      <c r="G684" t="s">
        <v>49</v>
      </c>
      <c r="H684" t="s">
        <v>22</v>
      </c>
      <c r="I684" t="s">
        <v>155</v>
      </c>
      <c r="J684" t="s">
        <v>156</v>
      </c>
      <c r="K684" t="s">
        <v>43</v>
      </c>
      <c r="L684">
        <v>1</v>
      </c>
      <c r="M684">
        <v>1200</v>
      </c>
      <c r="N684">
        <v>20</v>
      </c>
      <c r="O684">
        <v>156.38999999999999</v>
      </c>
    </row>
    <row r="685" spans="1:15" x14ac:dyDescent="0.3">
      <c r="A685" t="s">
        <v>1114</v>
      </c>
      <c r="B685" t="s">
        <v>352</v>
      </c>
      <c r="C685" t="s">
        <v>910</v>
      </c>
      <c r="D685" t="s">
        <v>47</v>
      </c>
      <c r="E685" t="s">
        <v>119</v>
      </c>
      <c r="F685" t="s">
        <v>31</v>
      </c>
      <c r="G685" t="s">
        <v>120</v>
      </c>
      <c r="H685" t="s">
        <v>33</v>
      </c>
      <c r="I685" t="s">
        <v>68</v>
      </c>
      <c r="J685" t="s">
        <v>69</v>
      </c>
      <c r="K685" t="s">
        <v>43</v>
      </c>
      <c r="L685">
        <v>3</v>
      </c>
      <c r="M685">
        <v>21675</v>
      </c>
      <c r="N685">
        <v>15</v>
      </c>
      <c r="O685">
        <v>2995.84</v>
      </c>
    </row>
    <row r="686" spans="1:15" x14ac:dyDescent="0.3">
      <c r="A686" t="s">
        <v>1115</v>
      </c>
      <c r="B686" t="s">
        <v>519</v>
      </c>
      <c r="C686" t="s">
        <v>374</v>
      </c>
      <c r="D686" t="s">
        <v>80</v>
      </c>
      <c r="E686" t="s">
        <v>89</v>
      </c>
      <c r="F686" t="s">
        <v>20</v>
      </c>
      <c r="G686" t="s">
        <v>49</v>
      </c>
      <c r="H686" t="s">
        <v>59</v>
      </c>
      <c r="I686" t="s">
        <v>93</v>
      </c>
      <c r="J686" t="s">
        <v>94</v>
      </c>
      <c r="K686" t="s">
        <v>62</v>
      </c>
      <c r="L686">
        <v>5</v>
      </c>
      <c r="M686">
        <v>3600</v>
      </c>
      <c r="N686">
        <v>20</v>
      </c>
      <c r="O686">
        <v>426.22</v>
      </c>
    </row>
    <row r="687" spans="1:15" x14ac:dyDescent="0.3">
      <c r="A687" t="s">
        <v>1116</v>
      </c>
      <c r="B687" t="s">
        <v>738</v>
      </c>
      <c r="C687" t="s">
        <v>1039</v>
      </c>
      <c r="D687" t="s">
        <v>98</v>
      </c>
      <c r="E687" t="s">
        <v>89</v>
      </c>
      <c r="F687" t="s">
        <v>20</v>
      </c>
      <c r="G687" t="s">
        <v>49</v>
      </c>
      <c r="H687" t="s">
        <v>59</v>
      </c>
      <c r="I687" t="s">
        <v>60</v>
      </c>
      <c r="J687" t="s">
        <v>61</v>
      </c>
      <c r="K687" t="s">
        <v>43</v>
      </c>
      <c r="L687">
        <v>5</v>
      </c>
      <c r="M687">
        <v>4500</v>
      </c>
      <c r="N687">
        <v>0</v>
      </c>
      <c r="O687">
        <v>976.89</v>
      </c>
    </row>
    <row r="688" spans="1:15" x14ac:dyDescent="0.3">
      <c r="A688" t="s">
        <v>1117</v>
      </c>
      <c r="B688" t="s">
        <v>264</v>
      </c>
      <c r="C688" t="s">
        <v>541</v>
      </c>
      <c r="D688" t="s">
        <v>73</v>
      </c>
      <c r="E688" t="s">
        <v>19</v>
      </c>
      <c r="F688" t="s">
        <v>20</v>
      </c>
      <c r="G688" t="s">
        <v>21</v>
      </c>
      <c r="H688" t="s">
        <v>59</v>
      </c>
      <c r="I688" t="s">
        <v>60</v>
      </c>
      <c r="J688" t="s">
        <v>61</v>
      </c>
      <c r="K688" t="s">
        <v>62</v>
      </c>
      <c r="L688">
        <v>1</v>
      </c>
      <c r="M688">
        <v>46750</v>
      </c>
      <c r="N688">
        <v>15</v>
      </c>
      <c r="O688">
        <v>6958.25</v>
      </c>
    </row>
    <row r="689" spans="1:15" x14ac:dyDescent="0.3">
      <c r="A689" t="s">
        <v>1118</v>
      </c>
      <c r="B689" t="s">
        <v>183</v>
      </c>
      <c r="C689" t="s">
        <v>87</v>
      </c>
      <c r="D689" t="s">
        <v>47</v>
      </c>
      <c r="E689" t="s">
        <v>106</v>
      </c>
      <c r="F689" t="s">
        <v>20</v>
      </c>
      <c r="G689" t="s">
        <v>49</v>
      </c>
      <c r="H689" t="s">
        <v>33</v>
      </c>
      <c r="I689" t="s">
        <v>68</v>
      </c>
      <c r="J689" t="s">
        <v>133</v>
      </c>
      <c r="K689" t="s">
        <v>81</v>
      </c>
      <c r="L689">
        <v>3</v>
      </c>
      <c r="M689">
        <v>6600</v>
      </c>
      <c r="N689">
        <v>0</v>
      </c>
      <c r="O689">
        <v>1371.87</v>
      </c>
    </row>
    <row r="690" spans="1:15" x14ac:dyDescent="0.3">
      <c r="A690" t="s">
        <v>1119</v>
      </c>
      <c r="B690" t="s">
        <v>195</v>
      </c>
      <c r="C690" t="s">
        <v>720</v>
      </c>
      <c r="D690" t="s">
        <v>98</v>
      </c>
      <c r="E690" t="s">
        <v>19</v>
      </c>
      <c r="F690" t="s">
        <v>20</v>
      </c>
      <c r="G690" t="s">
        <v>21</v>
      </c>
      <c r="H690" t="s">
        <v>40</v>
      </c>
      <c r="I690" t="s">
        <v>41</v>
      </c>
      <c r="J690" t="s">
        <v>42</v>
      </c>
      <c r="K690" t="s">
        <v>81</v>
      </c>
      <c r="L690">
        <v>3</v>
      </c>
      <c r="M690">
        <v>140250</v>
      </c>
      <c r="N690">
        <v>15</v>
      </c>
      <c r="O690">
        <v>15062.4</v>
      </c>
    </row>
    <row r="691" spans="1:15" x14ac:dyDescent="0.3">
      <c r="A691" t="s">
        <v>1120</v>
      </c>
      <c r="B691" t="s">
        <v>206</v>
      </c>
      <c r="C691" t="s">
        <v>1067</v>
      </c>
      <c r="D691" t="s">
        <v>29</v>
      </c>
      <c r="E691" t="s">
        <v>19</v>
      </c>
      <c r="F691" t="s">
        <v>20</v>
      </c>
      <c r="G691" t="s">
        <v>21</v>
      </c>
      <c r="H691" t="s">
        <v>40</v>
      </c>
      <c r="I691" t="s">
        <v>41</v>
      </c>
      <c r="J691" t="s">
        <v>42</v>
      </c>
      <c r="K691" t="s">
        <v>25</v>
      </c>
      <c r="L691">
        <v>1</v>
      </c>
      <c r="M691">
        <v>46750</v>
      </c>
      <c r="N691">
        <v>15</v>
      </c>
      <c r="O691">
        <v>8222.75</v>
      </c>
    </row>
    <row r="692" spans="1:15" x14ac:dyDescent="0.3">
      <c r="A692" t="s">
        <v>1121</v>
      </c>
      <c r="B692" t="s">
        <v>334</v>
      </c>
      <c r="C692" t="s">
        <v>128</v>
      </c>
      <c r="D692" t="s">
        <v>39</v>
      </c>
      <c r="E692" t="s">
        <v>48</v>
      </c>
      <c r="F692" t="s">
        <v>20</v>
      </c>
      <c r="G692" t="s">
        <v>49</v>
      </c>
      <c r="H692" t="s">
        <v>33</v>
      </c>
      <c r="I692" t="s">
        <v>68</v>
      </c>
      <c r="J692" t="s">
        <v>133</v>
      </c>
      <c r="K692" t="s">
        <v>62</v>
      </c>
      <c r="L692">
        <v>4</v>
      </c>
      <c r="M692">
        <v>5700</v>
      </c>
      <c r="N692">
        <v>5</v>
      </c>
      <c r="O692">
        <v>923.33</v>
      </c>
    </row>
    <row r="693" spans="1:15" x14ac:dyDescent="0.3">
      <c r="A693" t="s">
        <v>1122</v>
      </c>
      <c r="B693" t="s">
        <v>776</v>
      </c>
      <c r="C693" t="s">
        <v>181</v>
      </c>
      <c r="D693" t="s">
        <v>55</v>
      </c>
      <c r="E693" t="s">
        <v>56</v>
      </c>
      <c r="F693" t="s">
        <v>57</v>
      </c>
      <c r="G693" t="s">
        <v>58</v>
      </c>
      <c r="H693" t="s">
        <v>59</v>
      </c>
      <c r="I693" t="s">
        <v>93</v>
      </c>
      <c r="J693" t="s">
        <v>94</v>
      </c>
      <c r="K693" t="s">
        <v>43</v>
      </c>
      <c r="L693">
        <v>2</v>
      </c>
      <c r="M693">
        <v>700</v>
      </c>
      <c r="N693">
        <v>0</v>
      </c>
      <c r="O693">
        <v>89.6</v>
      </c>
    </row>
    <row r="694" spans="1:15" x14ac:dyDescent="0.3">
      <c r="A694" t="s">
        <v>1123</v>
      </c>
      <c r="B694" t="s">
        <v>505</v>
      </c>
      <c r="C694" t="s">
        <v>125</v>
      </c>
      <c r="D694" t="s">
        <v>80</v>
      </c>
      <c r="E694" t="s">
        <v>56</v>
      </c>
      <c r="F694" t="s">
        <v>57</v>
      </c>
      <c r="G694" t="s">
        <v>58</v>
      </c>
      <c r="H694" t="s">
        <v>59</v>
      </c>
      <c r="I694" t="s">
        <v>93</v>
      </c>
      <c r="J694" t="s">
        <v>94</v>
      </c>
      <c r="K694" t="s">
        <v>25</v>
      </c>
      <c r="L694">
        <v>5</v>
      </c>
      <c r="M694">
        <v>1487.5</v>
      </c>
      <c r="N694">
        <v>15</v>
      </c>
      <c r="O694">
        <v>185.68</v>
      </c>
    </row>
    <row r="695" spans="1:15" x14ac:dyDescent="0.3">
      <c r="A695" t="s">
        <v>1124</v>
      </c>
      <c r="B695" t="s">
        <v>101</v>
      </c>
      <c r="C695" t="s">
        <v>1125</v>
      </c>
      <c r="D695" t="s">
        <v>80</v>
      </c>
      <c r="E695" t="s">
        <v>66</v>
      </c>
      <c r="F695" t="s">
        <v>20</v>
      </c>
      <c r="G695" t="s">
        <v>67</v>
      </c>
      <c r="H695" t="s">
        <v>33</v>
      </c>
      <c r="I695" t="s">
        <v>34</v>
      </c>
      <c r="J695" t="s">
        <v>35</v>
      </c>
      <c r="K695" t="s">
        <v>81</v>
      </c>
      <c r="L695">
        <v>5</v>
      </c>
      <c r="M695">
        <v>57000</v>
      </c>
      <c r="N695">
        <v>5</v>
      </c>
      <c r="O695">
        <v>6987.49</v>
      </c>
    </row>
    <row r="696" spans="1:15" x14ac:dyDescent="0.3">
      <c r="A696" t="s">
        <v>1126</v>
      </c>
      <c r="B696" t="s">
        <v>125</v>
      </c>
      <c r="C696" t="s">
        <v>126</v>
      </c>
      <c r="D696" t="s">
        <v>29</v>
      </c>
      <c r="E696" t="s">
        <v>106</v>
      </c>
      <c r="F696" t="s">
        <v>20</v>
      </c>
      <c r="G696" t="s">
        <v>49</v>
      </c>
      <c r="H696" t="s">
        <v>40</v>
      </c>
      <c r="I696" t="s">
        <v>50</v>
      </c>
      <c r="J696" t="s">
        <v>51</v>
      </c>
      <c r="K696" t="s">
        <v>62</v>
      </c>
      <c r="L696">
        <v>1</v>
      </c>
      <c r="M696">
        <v>1760</v>
      </c>
      <c r="N696">
        <v>20</v>
      </c>
      <c r="O696">
        <v>324.27999999999997</v>
      </c>
    </row>
    <row r="697" spans="1:15" x14ac:dyDescent="0.3">
      <c r="A697" t="s">
        <v>1127</v>
      </c>
      <c r="B697" t="s">
        <v>292</v>
      </c>
      <c r="C697" t="s">
        <v>345</v>
      </c>
      <c r="D697" t="s">
        <v>80</v>
      </c>
      <c r="E697" t="s">
        <v>119</v>
      </c>
      <c r="F697" t="s">
        <v>31</v>
      </c>
      <c r="G697" t="s">
        <v>120</v>
      </c>
      <c r="H697" t="s">
        <v>40</v>
      </c>
      <c r="I697" t="s">
        <v>41</v>
      </c>
      <c r="J697" t="s">
        <v>42</v>
      </c>
      <c r="K697" t="s">
        <v>25</v>
      </c>
      <c r="L697">
        <v>5</v>
      </c>
      <c r="M697">
        <v>36125</v>
      </c>
      <c r="N697">
        <v>15</v>
      </c>
      <c r="O697">
        <v>3063.06</v>
      </c>
    </row>
    <row r="698" spans="1:15" x14ac:dyDescent="0.3">
      <c r="A698" t="s">
        <v>1128</v>
      </c>
      <c r="B698" t="s">
        <v>209</v>
      </c>
      <c r="C698" t="s">
        <v>311</v>
      </c>
      <c r="D698" t="s">
        <v>85</v>
      </c>
      <c r="E698" t="s">
        <v>56</v>
      </c>
      <c r="F698" t="s">
        <v>57</v>
      </c>
      <c r="G698" t="s">
        <v>58</v>
      </c>
      <c r="H698" t="s">
        <v>59</v>
      </c>
      <c r="I698" t="s">
        <v>93</v>
      </c>
      <c r="J698" t="s">
        <v>94</v>
      </c>
      <c r="K698" t="s">
        <v>25</v>
      </c>
      <c r="L698">
        <v>1</v>
      </c>
      <c r="M698">
        <v>315</v>
      </c>
      <c r="N698">
        <v>10</v>
      </c>
      <c r="O698">
        <v>35.42</v>
      </c>
    </row>
    <row r="699" spans="1:15" x14ac:dyDescent="0.3">
      <c r="A699" t="s">
        <v>1129</v>
      </c>
      <c r="B699" t="s">
        <v>377</v>
      </c>
      <c r="C699" t="s">
        <v>445</v>
      </c>
      <c r="D699" t="s">
        <v>73</v>
      </c>
      <c r="E699" t="s">
        <v>89</v>
      </c>
      <c r="F699" t="s">
        <v>20</v>
      </c>
      <c r="G699" t="s">
        <v>49</v>
      </c>
      <c r="H699" t="s">
        <v>40</v>
      </c>
      <c r="I699" t="s">
        <v>41</v>
      </c>
      <c r="J699" t="s">
        <v>42</v>
      </c>
      <c r="K699" t="s">
        <v>62</v>
      </c>
      <c r="L699">
        <v>1</v>
      </c>
      <c r="M699">
        <v>900</v>
      </c>
      <c r="N699">
        <v>0</v>
      </c>
      <c r="O699">
        <v>134.02000000000001</v>
      </c>
    </row>
    <row r="700" spans="1:15" x14ac:dyDescent="0.3">
      <c r="A700" t="s">
        <v>1130</v>
      </c>
      <c r="B700" t="s">
        <v>488</v>
      </c>
      <c r="C700" t="s">
        <v>497</v>
      </c>
      <c r="D700" t="s">
        <v>80</v>
      </c>
      <c r="E700" t="s">
        <v>19</v>
      </c>
      <c r="F700" t="s">
        <v>20</v>
      </c>
      <c r="G700" t="s">
        <v>21</v>
      </c>
      <c r="H700" t="s">
        <v>33</v>
      </c>
      <c r="I700" t="s">
        <v>68</v>
      </c>
      <c r="J700" t="s">
        <v>69</v>
      </c>
      <c r="K700" t="s">
        <v>25</v>
      </c>
      <c r="L700">
        <v>1</v>
      </c>
      <c r="M700">
        <v>44000</v>
      </c>
      <c r="N700">
        <v>20</v>
      </c>
      <c r="O700">
        <v>8259.35</v>
      </c>
    </row>
    <row r="701" spans="1:15" x14ac:dyDescent="0.3">
      <c r="A701" t="s">
        <v>1131</v>
      </c>
      <c r="B701" t="s">
        <v>192</v>
      </c>
      <c r="C701" t="s">
        <v>679</v>
      </c>
      <c r="D701" t="s">
        <v>47</v>
      </c>
      <c r="E701" t="s">
        <v>56</v>
      </c>
      <c r="F701" t="s">
        <v>57</v>
      </c>
      <c r="G701" t="s">
        <v>58</v>
      </c>
      <c r="H701" t="s">
        <v>33</v>
      </c>
      <c r="I701" t="s">
        <v>68</v>
      </c>
      <c r="J701" t="s">
        <v>133</v>
      </c>
      <c r="K701" t="s">
        <v>43</v>
      </c>
      <c r="L701">
        <v>5</v>
      </c>
      <c r="M701">
        <v>1575</v>
      </c>
      <c r="N701">
        <v>10</v>
      </c>
      <c r="O701">
        <v>166.13</v>
      </c>
    </row>
    <row r="702" spans="1:15" x14ac:dyDescent="0.3">
      <c r="A702" t="s">
        <v>1132</v>
      </c>
      <c r="B702" t="s">
        <v>170</v>
      </c>
      <c r="C702" t="s">
        <v>566</v>
      </c>
      <c r="D702" t="s">
        <v>55</v>
      </c>
      <c r="E702" t="s">
        <v>113</v>
      </c>
      <c r="F702" t="s">
        <v>114</v>
      </c>
      <c r="G702" t="s">
        <v>115</v>
      </c>
      <c r="H702" t="s">
        <v>22</v>
      </c>
      <c r="I702" t="s">
        <v>23</v>
      </c>
      <c r="J702" t="s">
        <v>24</v>
      </c>
      <c r="K702" t="s">
        <v>43</v>
      </c>
      <c r="L702">
        <v>1</v>
      </c>
      <c r="M702">
        <v>1710</v>
      </c>
      <c r="N702">
        <v>5</v>
      </c>
      <c r="O702">
        <v>310.92</v>
      </c>
    </row>
    <row r="703" spans="1:15" x14ac:dyDescent="0.3">
      <c r="A703" t="s">
        <v>1133</v>
      </c>
      <c r="B703" t="s">
        <v>541</v>
      </c>
      <c r="C703" t="s">
        <v>186</v>
      </c>
      <c r="D703" t="s">
        <v>98</v>
      </c>
      <c r="E703" t="s">
        <v>56</v>
      </c>
      <c r="F703" t="s">
        <v>57</v>
      </c>
      <c r="G703" t="s">
        <v>58</v>
      </c>
      <c r="H703" t="s">
        <v>22</v>
      </c>
      <c r="I703" t="s">
        <v>155</v>
      </c>
      <c r="J703" t="s">
        <v>156</v>
      </c>
      <c r="K703" t="s">
        <v>81</v>
      </c>
      <c r="L703">
        <v>1</v>
      </c>
      <c r="M703">
        <v>315</v>
      </c>
      <c r="N703">
        <v>10</v>
      </c>
      <c r="O703">
        <v>55.71</v>
      </c>
    </row>
    <row r="704" spans="1:15" x14ac:dyDescent="0.3">
      <c r="A704" t="s">
        <v>1134</v>
      </c>
      <c r="B704" t="s">
        <v>558</v>
      </c>
      <c r="C704" t="s">
        <v>329</v>
      </c>
      <c r="D704" t="s">
        <v>102</v>
      </c>
      <c r="E704" t="s">
        <v>130</v>
      </c>
      <c r="F704" t="s">
        <v>131</v>
      </c>
      <c r="G704" t="s">
        <v>132</v>
      </c>
      <c r="H704" t="s">
        <v>59</v>
      </c>
      <c r="I704" t="s">
        <v>60</v>
      </c>
      <c r="J704" t="s">
        <v>61</v>
      </c>
      <c r="K704" t="s">
        <v>43</v>
      </c>
      <c r="L704">
        <v>3</v>
      </c>
      <c r="M704">
        <v>1282.5</v>
      </c>
      <c r="N704">
        <v>5</v>
      </c>
      <c r="O704">
        <v>271.79000000000002</v>
      </c>
    </row>
    <row r="705" spans="1:15" x14ac:dyDescent="0.3">
      <c r="A705" t="s">
        <v>1135</v>
      </c>
      <c r="B705" t="s">
        <v>801</v>
      </c>
      <c r="C705" t="s">
        <v>605</v>
      </c>
      <c r="D705" t="s">
        <v>29</v>
      </c>
      <c r="E705" t="s">
        <v>48</v>
      </c>
      <c r="F705" t="s">
        <v>20</v>
      </c>
      <c r="G705" t="s">
        <v>49</v>
      </c>
      <c r="H705" t="s">
        <v>59</v>
      </c>
      <c r="I705" t="s">
        <v>93</v>
      </c>
      <c r="J705" t="s">
        <v>94</v>
      </c>
      <c r="K705" t="s">
        <v>62</v>
      </c>
      <c r="L705">
        <v>1</v>
      </c>
      <c r="M705">
        <v>1500</v>
      </c>
      <c r="N705">
        <v>0</v>
      </c>
      <c r="O705">
        <v>241.7</v>
      </c>
    </row>
    <row r="706" spans="1:15" x14ac:dyDescent="0.3">
      <c r="A706" t="s">
        <v>1136</v>
      </c>
      <c r="B706" t="s">
        <v>312</v>
      </c>
      <c r="C706" t="s">
        <v>674</v>
      </c>
      <c r="D706" t="s">
        <v>73</v>
      </c>
      <c r="E706" t="s">
        <v>119</v>
      </c>
      <c r="F706" t="s">
        <v>31</v>
      </c>
      <c r="G706" t="s">
        <v>120</v>
      </c>
      <c r="H706" t="s">
        <v>59</v>
      </c>
      <c r="I706" t="s">
        <v>93</v>
      </c>
      <c r="J706" t="s">
        <v>94</v>
      </c>
      <c r="K706" t="s">
        <v>62</v>
      </c>
      <c r="L706">
        <v>4</v>
      </c>
      <c r="M706">
        <v>30600</v>
      </c>
      <c r="N706">
        <v>10</v>
      </c>
      <c r="O706">
        <v>5987.79</v>
      </c>
    </row>
    <row r="707" spans="1:15" x14ac:dyDescent="0.3">
      <c r="A707" t="s">
        <v>1137</v>
      </c>
      <c r="B707" t="s">
        <v>189</v>
      </c>
      <c r="C707" t="s">
        <v>340</v>
      </c>
      <c r="D707" t="s">
        <v>47</v>
      </c>
      <c r="E707" t="s">
        <v>119</v>
      </c>
      <c r="F707" t="s">
        <v>31</v>
      </c>
      <c r="G707" t="s">
        <v>120</v>
      </c>
      <c r="H707" t="s">
        <v>33</v>
      </c>
      <c r="I707" t="s">
        <v>34</v>
      </c>
      <c r="J707" t="s">
        <v>35</v>
      </c>
      <c r="K707" t="s">
        <v>62</v>
      </c>
      <c r="L707">
        <v>4</v>
      </c>
      <c r="M707">
        <v>27200</v>
      </c>
      <c r="N707">
        <v>20</v>
      </c>
      <c r="O707">
        <v>4280.62</v>
      </c>
    </row>
    <row r="708" spans="1:15" x14ac:dyDescent="0.3">
      <c r="A708" t="s">
        <v>1138</v>
      </c>
      <c r="B708" t="s">
        <v>427</v>
      </c>
      <c r="C708" t="s">
        <v>812</v>
      </c>
      <c r="D708" t="s">
        <v>55</v>
      </c>
      <c r="E708" t="s">
        <v>30</v>
      </c>
      <c r="F708" t="s">
        <v>31</v>
      </c>
      <c r="G708" t="s">
        <v>32</v>
      </c>
      <c r="H708" t="s">
        <v>33</v>
      </c>
      <c r="I708" t="s">
        <v>34</v>
      </c>
      <c r="J708" t="s">
        <v>35</v>
      </c>
      <c r="K708" t="s">
        <v>62</v>
      </c>
      <c r="L708">
        <v>3</v>
      </c>
      <c r="M708">
        <v>19500</v>
      </c>
      <c r="N708">
        <v>0</v>
      </c>
      <c r="O708">
        <v>3094.55</v>
      </c>
    </row>
    <row r="709" spans="1:15" x14ac:dyDescent="0.3">
      <c r="A709" t="s">
        <v>1139</v>
      </c>
      <c r="B709" t="s">
        <v>396</v>
      </c>
      <c r="C709" t="s">
        <v>144</v>
      </c>
      <c r="D709" t="s">
        <v>102</v>
      </c>
      <c r="E709" t="s">
        <v>119</v>
      </c>
      <c r="F709" t="s">
        <v>31</v>
      </c>
      <c r="G709" t="s">
        <v>120</v>
      </c>
      <c r="H709" t="s">
        <v>40</v>
      </c>
      <c r="I709" t="s">
        <v>50</v>
      </c>
      <c r="J709" t="s">
        <v>51</v>
      </c>
      <c r="K709" t="s">
        <v>43</v>
      </c>
      <c r="L709">
        <v>2</v>
      </c>
      <c r="M709">
        <v>17000</v>
      </c>
      <c r="N709">
        <v>0</v>
      </c>
      <c r="O709">
        <v>1974.71</v>
      </c>
    </row>
    <row r="710" spans="1:15" x14ac:dyDescent="0.3">
      <c r="A710" t="s">
        <v>1140</v>
      </c>
      <c r="B710" t="s">
        <v>679</v>
      </c>
      <c r="C710" t="s">
        <v>109</v>
      </c>
      <c r="D710" t="s">
        <v>102</v>
      </c>
      <c r="E710" t="s">
        <v>130</v>
      </c>
      <c r="F710" t="s">
        <v>131</v>
      </c>
      <c r="G710" t="s">
        <v>132</v>
      </c>
      <c r="H710" t="s">
        <v>59</v>
      </c>
      <c r="I710" t="s">
        <v>60</v>
      </c>
      <c r="J710" t="s">
        <v>61</v>
      </c>
      <c r="K710" t="s">
        <v>62</v>
      </c>
      <c r="L710">
        <v>2</v>
      </c>
      <c r="M710">
        <v>855</v>
      </c>
      <c r="N710">
        <v>5</v>
      </c>
      <c r="O710">
        <v>100.11</v>
      </c>
    </row>
    <row r="711" spans="1:15" x14ac:dyDescent="0.3">
      <c r="A711" t="s">
        <v>1141</v>
      </c>
      <c r="B711" t="s">
        <v>186</v>
      </c>
      <c r="C711" t="s">
        <v>265</v>
      </c>
      <c r="D711" t="s">
        <v>29</v>
      </c>
      <c r="E711" t="s">
        <v>119</v>
      </c>
      <c r="F711" t="s">
        <v>31</v>
      </c>
      <c r="G711" t="s">
        <v>120</v>
      </c>
      <c r="H711" t="s">
        <v>59</v>
      </c>
      <c r="I711" t="s">
        <v>60</v>
      </c>
      <c r="J711" t="s">
        <v>61</v>
      </c>
      <c r="K711" t="s">
        <v>43</v>
      </c>
      <c r="L711">
        <v>2</v>
      </c>
      <c r="M711">
        <v>15300</v>
      </c>
      <c r="N711">
        <v>10</v>
      </c>
      <c r="O711">
        <v>2886.34</v>
      </c>
    </row>
    <row r="712" spans="1:15" x14ac:dyDescent="0.3">
      <c r="A712" t="s">
        <v>1142</v>
      </c>
      <c r="B712" t="s">
        <v>455</v>
      </c>
      <c r="C712" t="s">
        <v>1143</v>
      </c>
      <c r="D712" t="s">
        <v>102</v>
      </c>
      <c r="E712" t="s">
        <v>66</v>
      </c>
      <c r="F712" t="s">
        <v>20</v>
      </c>
      <c r="G712" t="s">
        <v>67</v>
      </c>
      <c r="H712" t="s">
        <v>59</v>
      </c>
      <c r="I712" t="s">
        <v>93</v>
      </c>
      <c r="J712" t="s">
        <v>94</v>
      </c>
      <c r="K712" t="s">
        <v>81</v>
      </c>
      <c r="L712">
        <v>2</v>
      </c>
      <c r="M712">
        <v>20400</v>
      </c>
      <c r="N712">
        <v>15</v>
      </c>
      <c r="O712">
        <v>3199.22</v>
      </c>
    </row>
    <row r="713" spans="1:15" x14ac:dyDescent="0.3">
      <c r="A713" t="s">
        <v>1144</v>
      </c>
      <c r="B713" t="s">
        <v>457</v>
      </c>
      <c r="C713" t="s">
        <v>557</v>
      </c>
      <c r="D713" t="s">
        <v>39</v>
      </c>
      <c r="E713" t="s">
        <v>89</v>
      </c>
      <c r="F713" t="s">
        <v>20</v>
      </c>
      <c r="G713" t="s">
        <v>49</v>
      </c>
      <c r="H713" t="s">
        <v>40</v>
      </c>
      <c r="I713" t="s">
        <v>41</v>
      </c>
      <c r="J713" t="s">
        <v>42</v>
      </c>
      <c r="K713" t="s">
        <v>43</v>
      </c>
      <c r="L713">
        <v>3</v>
      </c>
      <c r="M713">
        <v>2700</v>
      </c>
      <c r="N713">
        <v>0</v>
      </c>
      <c r="O713">
        <v>450.67</v>
      </c>
    </row>
    <row r="714" spans="1:15" x14ac:dyDescent="0.3">
      <c r="A714" t="s">
        <v>1145</v>
      </c>
      <c r="B714" t="s">
        <v>566</v>
      </c>
      <c r="C714" t="s">
        <v>223</v>
      </c>
      <c r="D714" t="s">
        <v>18</v>
      </c>
      <c r="E714" t="s">
        <v>19</v>
      </c>
      <c r="F714" t="s">
        <v>20</v>
      </c>
      <c r="G714" t="s">
        <v>21</v>
      </c>
      <c r="H714" t="s">
        <v>59</v>
      </c>
      <c r="I714" t="s">
        <v>93</v>
      </c>
      <c r="J714" t="s">
        <v>94</v>
      </c>
      <c r="K714" t="s">
        <v>25</v>
      </c>
      <c r="L714">
        <v>5</v>
      </c>
      <c r="M714">
        <v>275000</v>
      </c>
      <c r="N714">
        <v>0</v>
      </c>
      <c r="O714">
        <v>40202.19</v>
      </c>
    </row>
    <row r="715" spans="1:15" x14ac:dyDescent="0.3">
      <c r="A715" t="s">
        <v>1146</v>
      </c>
      <c r="B715" t="s">
        <v>895</v>
      </c>
      <c r="C715" t="s">
        <v>876</v>
      </c>
      <c r="D715" t="s">
        <v>55</v>
      </c>
      <c r="E715" t="s">
        <v>56</v>
      </c>
      <c r="F715" t="s">
        <v>57</v>
      </c>
      <c r="G715" t="s">
        <v>58</v>
      </c>
      <c r="H715" t="s">
        <v>59</v>
      </c>
      <c r="I715" t="s">
        <v>60</v>
      </c>
      <c r="J715" t="s">
        <v>61</v>
      </c>
      <c r="K715" t="s">
        <v>62</v>
      </c>
      <c r="L715">
        <v>4</v>
      </c>
      <c r="M715">
        <v>1190</v>
      </c>
      <c r="N715">
        <v>15</v>
      </c>
      <c r="O715">
        <v>139.66</v>
      </c>
    </row>
    <row r="716" spans="1:15" x14ac:dyDescent="0.3">
      <c r="A716" t="s">
        <v>1147</v>
      </c>
      <c r="B716" t="s">
        <v>291</v>
      </c>
      <c r="C716" t="s">
        <v>201</v>
      </c>
      <c r="D716" t="s">
        <v>102</v>
      </c>
      <c r="E716" t="s">
        <v>66</v>
      </c>
      <c r="F716" t="s">
        <v>20</v>
      </c>
      <c r="G716" t="s">
        <v>67</v>
      </c>
      <c r="H716" t="s">
        <v>40</v>
      </c>
      <c r="I716" t="s">
        <v>50</v>
      </c>
      <c r="J716" t="s">
        <v>51</v>
      </c>
      <c r="K716" t="s">
        <v>81</v>
      </c>
      <c r="L716">
        <v>4</v>
      </c>
      <c r="M716">
        <v>48000</v>
      </c>
      <c r="N716">
        <v>0</v>
      </c>
      <c r="O716">
        <v>7855.57</v>
      </c>
    </row>
    <row r="717" spans="1:15" x14ac:dyDescent="0.3">
      <c r="A717" t="s">
        <v>1148</v>
      </c>
      <c r="B717" t="s">
        <v>341</v>
      </c>
      <c r="C717" t="s">
        <v>681</v>
      </c>
      <c r="D717" t="s">
        <v>85</v>
      </c>
      <c r="E717" t="s">
        <v>106</v>
      </c>
      <c r="F717" t="s">
        <v>20</v>
      </c>
      <c r="G717" t="s">
        <v>49</v>
      </c>
      <c r="H717" t="s">
        <v>33</v>
      </c>
      <c r="I717" t="s">
        <v>68</v>
      </c>
      <c r="J717" t="s">
        <v>133</v>
      </c>
      <c r="K717" t="s">
        <v>25</v>
      </c>
      <c r="L717">
        <v>3</v>
      </c>
      <c r="M717">
        <v>5940</v>
      </c>
      <c r="N717">
        <v>10</v>
      </c>
      <c r="O717">
        <v>659.14</v>
      </c>
    </row>
    <row r="718" spans="1:15" x14ac:dyDescent="0.3">
      <c r="A718" t="s">
        <v>1149</v>
      </c>
      <c r="B718" t="s">
        <v>706</v>
      </c>
      <c r="C718" t="s">
        <v>297</v>
      </c>
      <c r="D718" t="s">
        <v>98</v>
      </c>
      <c r="E718" t="s">
        <v>30</v>
      </c>
      <c r="F718" t="s">
        <v>31</v>
      </c>
      <c r="G718" t="s">
        <v>32</v>
      </c>
      <c r="H718" t="s">
        <v>22</v>
      </c>
      <c r="I718" t="s">
        <v>155</v>
      </c>
      <c r="J718" t="s">
        <v>156</v>
      </c>
      <c r="K718" t="s">
        <v>25</v>
      </c>
      <c r="L718">
        <v>3</v>
      </c>
      <c r="M718">
        <v>15600</v>
      </c>
      <c r="N718">
        <v>20</v>
      </c>
      <c r="O718">
        <v>1366.3</v>
      </c>
    </row>
    <row r="719" spans="1:15" x14ac:dyDescent="0.3">
      <c r="A719" t="s">
        <v>1150</v>
      </c>
      <c r="B719" t="s">
        <v>324</v>
      </c>
      <c r="C719" t="s">
        <v>431</v>
      </c>
      <c r="D719" t="s">
        <v>47</v>
      </c>
      <c r="E719" t="s">
        <v>106</v>
      </c>
      <c r="F719" t="s">
        <v>20</v>
      </c>
      <c r="G719" t="s">
        <v>49</v>
      </c>
      <c r="H719" t="s">
        <v>22</v>
      </c>
      <c r="I719" t="s">
        <v>155</v>
      </c>
      <c r="J719" t="s">
        <v>156</v>
      </c>
      <c r="K719" t="s">
        <v>62</v>
      </c>
      <c r="L719">
        <v>3</v>
      </c>
      <c r="M719">
        <v>5940</v>
      </c>
      <c r="N719">
        <v>10</v>
      </c>
      <c r="O719">
        <v>640.04</v>
      </c>
    </row>
    <row r="720" spans="1:15" x14ac:dyDescent="0.3">
      <c r="A720" t="s">
        <v>1151</v>
      </c>
      <c r="B720" t="s">
        <v>265</v>
      </c>
      <c r="C720" t="s">
        <v>334</v>
      </c>
      <c r="D720" t="s">
        <v>73</v>
      </c>
      <c r="E720" t="s">
        <v>66</v>
      </c>
      <c r="F720" t="s">
        <v>20</v>
      </c>
      <c r="G720" t="s">
        <v>67</v>
      </c>
      <c r="H720" t="s">
        <v>33</v>
      </c>
      <c r="I720" t="s">
        <v>68</v>
      </c>
      <c r="J720" t="s">
        <v>69</v>
      </c>
      <c r="K720" t="s">
        <v>62</v>
      </c>
      <c r="L720">
        <v>4</v>
      </c>
      <c r="M720">
        <v>45600</v>
      </c>
      <c r="N720">
        <v>5</v>
      </c>
      <c r="O720">
        <v>9310.91</v>
      </c>
    </row>
    <row r="721" spans="1:15" x14ac:dyDescent="0.3">
      <c r="A721" t="s">
        <v>1152</v>
      </c>
      <c r="B721" t="s">
        <v>639</v>
      </c>
      <c r="C721" t="s">
        <v>218</v>
      </c>
      <c r="D721" t="s">
        <v>102</v>
      </c>
      <c r="E721" t="s">
        <v>30</v>
      </c>
      <c r="F721" t="s">
        <v>31</v>
      </c>
      <c r="G721" t="s">
        <v>32</v>
      </c>
      <c r="H721" t="s">
        <v>22</v>
      </c>
      <c r="I721" t="s">
        <v>155</v>
      </c>
      <c r="J721" t="s">
        <v>156</v>
      </c>
      <c r="K721" t="s">
        <v>81</v>
      </c>
      <c r="L721">
        <v>3</v>
      </c>
      <c r="M721">
        <v>18525</v>
      </c>
      <c r="N721">
        <v>5</v>
      </c>
      <c r="O721">
        <v>1755.94</v>
      </c>
    </row>
    <row r="722" spans="1:15" x14ac:dyDescent="0.3">
      <c r="A722" t="s">
        <v>1153</v>
      </c>
      <c r="B722" t="s">
        <v>258</v>
      </c>
      <c r="C722" t="s">
        <v>753</v>
      </c>
      <c r="D722" t="s">
        <v>73</v>
      </c>
      <c r="E722" t="s">
        <v>56</v>
      </c>
      <c r="F722" t="s">
        <v>57</v>
      </c>
      <c r="G722" t="s">
        <v>58</v>
      </c>
      <c r="H722" t="s">
        <v>33</v>
      </c>
      <c r="I722" t="s">
        <v>68</v>
      </c>
      <c r="J722" t="s">
        <v>69</v>
      </c>
      <c r="K722" t="s">
        <v>81</v>
      </c>
      <c r="L722">
        <v>1</v>
      </c>
      <c r="M722">
        <v>315</v>
      </c>
      <c r="N722">
        <v>10</v>
      </c>
      <c r="O722">
        <v>59.98</v>
      </c>
    </row>
    <row r="723" spans="1:15" x14ac:dyDescent="0.3">
      <c r="A723" t="s">
        <v>1154</v>
      </c>
      <c r="B723" t="s">
        <v>281</v>
      </c>
      <c r="C723" t="s">
        <v>797</v>
      </c>
      <c r="D723" t="s">
        <v>80</v>
      </c>
      <c r="E723" t="s">
        <v>56</v>
      </c>
      <c r="F723" t="s">
        <v>57</v>
      </c>
      <c r="G723" t="s">
        <v>58</v>
      </c>
      <c r="H723" t="s">
        <v>40</v>
      </c>
      <c r="I723" t="s">
        <v>41</v>
      </c>
      <c r="J723" t="s">
        <v>42</v>
      </c>
      <c r="K723" t="s">
        <v>62</v>
      </c>
      <c r="L723">
        <v>2</v>
      </c>
      <c r="M723">
        <v>700</v>
      </c>
      <c r="N723">
        <v>0</v>
      </c>
      <c r="O723">
        <v>128.08000000000001</v>
      </c>
    </row>
    <row r="724" spans="1:15" x14ac:dyDescent="0.3">
      <c r="A724" t="s">
        <v>1155</v>
      </c>
      <c r="B724" t="s">
        <v>701</v>
      </c>
      <c r="C724" t="s">
        <v>1156</v>
      </c>
      <c r="D724" t="s">
        <v>18</v>
      </c>
      <c r="E724" t="s">
        <v>56</v>
      </c>
      <c r="F724" t="s">
        <v>57</v>
      </c>
      <c r="G724" t="s">
        <v>58</v>
      </c>
      <c r="H724" t="s">
        <v>59</v>
      </c>
      <c r="I724" t="s">
        <v>60</v>
      </c>
      <c r="J724" t="s">
        <v>61</v>
      </c>
      <c r="K724" t="s">
        <v>81</v>
      </c>
      <c r="L724">
        <v>1</v>
      </c>
      <c r="M724">
        <v>315</v>
      </c>
      <c r="N724">
        <v>10</v>
      </c>
      <c r="O724">
        <v>44.22</v>
      </c>
    </row>
    <row r="725" spans="1:15" x14ac:dyDescent="0.3">
      <c r="A725" t="s">
        <v>1157</v>
      </c>
      <c r="B725" t="s">
        <v>476</v>
      </c>
      <c r="C725" t="s">
        <v>303</v>
      </c>
      <c r="D725" t="s">
        <v>80</v>
      </c>
      <c r="E725" t="s">
        <v>106</v>
      </c>
      <c r="F725" t="s">
        <v>20</v>
      </c>
      <c r="G725" t="s">
        <v>49</v>
      </c>
      <c r="H725" t="s">
        <v>33</v>
      </c>
      <c r="I725" t="s">
        <v>68</v>
      </c>
      <c r="J725" t="s">
        <v>133</v>
      </c>
      <c r="K725" t="s">
        <v>25</v>
      </c>
      <c r="L725">
        <v>5</v>
      </c>
      <c r="M725">
        <v>9900</v>
      </c>
      <c r="N725">
        <v>10</v>
      </c>
      <c r="O725">
        <v>2002.48</v>
      </c>
    </row>
    <row r="726" spans="1:15" x14ac:dyDescent="0.3">
      <c r="A726" t="s">
        <v>1158</v>
      </c>
      <c r="B726" t="s">
        <v>65</v>
      </c>
      <c r="C726" t="s">
        <v>463</v>
      </c>
      <c r="D726" t="s">
        <v>80</v>
      </c>
      <c r="E726" t="s">
        <v>56</v>
      </c>
      <c r="F726" t="s">
        <v>57</v>
      </c>
      <c r="G726" t="s">
        <v>58</v>
      </c>
      <c r="H726" t="s">
        <v>40</v>
      </c>
      <c r="I726" t="s">
        <v>41</v>
      </c>
      <c r="J726" t="s">
        <v>42</v>
      </c>
      <c r="K726" t="s">
        <v>25</v>
      </c>
      <c r="L726">
        <v>5</v>
      </c>
      <c r="M726">
        <v>1662.5</v>
      </c>
      <c r="N726">
        <v>5</v>
      </c>
      <c r="O726">
        <v>276.38</v>
      </c>
    </row>
    <row r="727" spans="1:15" x14ac:dyDescent="0.3">
      <c r="A727" t="s">
        <v>1159</v>
      </c>
      <c r="B727" t="s">
        <v>738</v>
      </c>
      <c r="C727" t="s">
        <v>83</v>
      </c>
      <c r="D727" t="s">
        <v>18</v>
      </c>
      <c r="E727" t="s">
        <v>66</v>
      </c>
      <c r="F727" t="s">
        <v>20</v>
      </c>
      <c r="G727" t="s">
        <v>67</v>
      </c>
      <c r="H727" t="s">
        <v>33</v>
      </c>
      <c r="I727" t="s">
        <v>34</v>
      </c>
      <c r="J727" t="s">
        <v>35</v>
      </c>
      <c r="K727" t="s">
        <v>25</v>
      </c>
      <c r="L727">
        <v>3</v>
      </c>
      <c r="M727">
        <v>30600</v>
      </c>
      <c r="N727">
        <v>15</v>
      </c>
      <c r="O727">
        <v>4635.26</v>
      </c>
    </row>
    <row r="728" spans="1:15" x14ac:dyDescent="0.3">
      <c r="A728" t="s">
        <v>1160</v>
      </c>
      <c r="B728" t="s">
        <v>1050</v>
      </c>
      <c r="C728" t="s">
        <v>660</v>
      </c>
      <c r="D728" t="s">
        <v>39</v>
      </c>
      <c r="E728" t="s">
        <v>113</v>
      </c>
      <c r="F728" t="s">
        <v>114</v>
      </c>
      <c r="G728" t="s">
        <v>115</v>
      </c>
      <c r="H728" t="s">
        <v>22</v>
      </c>
      <c r="I728" t="s">
        <v>23</v>
      </c>
      <c r="J728" t="s">
        <v>24</v>
      </c>
      <c r="K728" t="s">
        <v>81</v>
      </c>
      <c r="L728">
        <v>5</v>
      </c>
      <c r="M728">
        <v>8550</v>
      </c>
      <c r="N728">
        <v>5</v>
      </c>
      <c r="O728">
        <v>1628.22</v>
      </c>
    </row>
    <row r="729" spans="1:15" x14ac:dyDescent="0.3">
      <c r="A729" t="s">
        <v>1161</v>
      </c>
      <c r="B729" t="s">
        <v>374</v>
      </c>
      <c r="C729" t="s">
        <v>139</v>
      </c>
      <c r="D729" t="s">
        <v>39</v>
      </c>
      <c r="E729" t="s">
        <v>66</v>
      </c>
      <c r="F729" t="s">
        <v>20</v>
      </c>
      <c r="G729" t="s">
        <v>67</v>
      </c>
      <c r="H729" t="s">
        <v>22</v>
      </c>
      <c r="I729" t="s">
        <v>23</v>
      </c>
      <c r="J729" t="s">
        <v>24</v>
      </c>
      <c r="K729" t="s">
        <v>62</v>
      </c>
      <c r="L729">
        <v>5</v>
      </c>
      <c r="M729">
        <v>57000</v>
      </c>
      <c r="N729">
        <v>5</v>
      </c>
      <c r="O729">
        <v>10385.23</v>
      </c>
    </row>
    <row r="730" spans="1:15" x14ac:dyDescent="0.3">
      <c r="A730" t="s">
        <v>1162</v>
      </c>
      <c r="B730" t="s">
        <v>338</v>
      </c>
      <c r="C730" t="s">
        <v>222</v>
      </c>
      <c r="D730" t="s">
        <v>55</v>
      </c>
      <c r="E730" t="s">
        <v>56</v>
      </c>
      <c r="F730" t="s">
        <v>57</v>
      </c>
      <c r="G730" t="s">
        <v>58</v>
      </c>
      <c r="H730" t="s">
        <v>59</v>
      </c>
      <c r="I730" t="s">
        <v>60</v>
      </c>
      <c r="J730" t="s">
        <v>61</v>
      </c>
      <c r="K730" t="s">
        <v>62</v>
      </c>
      <c r="L730">
        <v>1</v>
      </c>
      <c r="M730">
        <v>297.5</v>
      </c>
      <c r="N730">
        <v>15</v>
      </c>
      <c r="O730">
        <v>60.17</v>
      </c>
    </row>
    <row r="731" spans="1:15" x14ac:dyDescent="0.3">
      <c r="A731" t="s">
        <v>1163</v>
      </c>
      <c r="B731" t="s">
        <v>352</v>
      </c>
      <c r="C731" t="s">
        <v>129</v>
      </c>
      <c r="D731" t="s">
        <v>18</v>
      </c>
      <c r="E731" t="s">
        <v>113</v>
      </c>
      <c r="F731" t="s">
        <v>114</v>
      </c>
      <c r="G731" t="s">
        <v>115</v>
      </c>
      <c r="H731" t="s">
        <v>22</v>
      </c>
      <c r="I731" t="s">
        <v>23</v>
      </c>
      <c r="J731" t="s">
        <v>24</v>
      </c>
      <c r="K731" t="s">
        <v>62</v>
      </c>
      <c r="L731">
        <v>2</v>
      </c>
      <c r="M731">
        <v>3060</v>
      </c>
      <c r="N731">
        <v>15</v>
      </c>
      <c r="O731">
        <v>460.45</v>
      </c>
    </row>
    <row r="732" spans="1:15" x14ac:dyDescent="0.3">
      <c r="A732" t="s">
        <v>1164</v>
      </c>
      <c r="B732" t="s">
        <v>254</v>
      </c>
      <c r="C732" t="s">
        <v>641</v>
      </c>
      <c r="D732" t="s">
        <v>29</v>
      </c>
      <c r="E732" t="s">
        <v>119</v>
      </c>
      <c r="F732" t="s">
        <v>31</v>
      </c>
      <c r="G732" t="s">
        <v>120</v>
      </c>
      <c r="H732" t="s">
        <v>33</v>
      </c>
      <c r="I732" t="s">
        <v>34</v>
      </c>
      <c r="J732" t="s">
        <v>35</v>
      </c>
      <c r="K732" t="s">
        <v>62</v>
      </c>
      <c r="L732">
        <v>1</v>
      </c>
      <c r="M732">
        <v>8075</v>
      </c>
      <c r="N732">
        <v>5</v>
      </c>
      <c r="O732">
        <v>1394.51</v>
      </c>
    </row>
    <row r="733" spans="1:15" x14ac:dyDescent="0.3">
      <c r="A733" t="s">
        <v>1165</v>
      </c>
      <c r="B733" t="s">
        <v>848</v>
      </c>
      <c r="C733" t="s">
        <v>122</v>
      </c>
      <c r="D733" t="s">
        <v>39</v>
      </c>
      <c r="E733" t="s">
        <v>106</v>
      </c>
      <c r="F733" t="s">
        <v>20</v>
      </c>
      <c r="G733" t="s">
        <v>49</v>
      </c>
      <c r="H733" t="s">
        <v>22</v>
      </c>
      <c r="I733" t="s">
        <v>23</v>
      </c>
      <c r="J733" t="s">
        <v>24</v>
      </c>
      <c r="K733" t="s">
        <v>81</v>
      </c>
      <c r="L733">
        <v>3</v>
      </c>
      <c r="M733">
        <v>5610</v>
      </c>
      <c r="N733">
        <v>15</v>
      </c>
      <c r="O733">
        <v>1085.3699999999999</v>
      </c>
    </row>
    <row r="734" spans="1:15" x14ac:dyDescent="0.3">
      <c r="A734" t="s">
        <v>1166</v>
      </c>
      <c r="B734" t="s">
        <v>1156</v>
      </c>
      <c r="C734" t="s">
        <v>631</v>
      </c>
      <c r="D734" t="s">
        <v>85</v>
      </c>
      <c r="E734" t="s">
        <v>19</v>
      </c>
      <c r="F734" t="s">
        <v>20</v>
      </c>
      <c r="G734" t="s">
        <v>21</v>
      </c>
      <c r="H734" t="s">
        <v>59</v>
      </c>
      <c r="I734" t="s">
        <v>60</v>
      </c>
      <c r="J734" t="s">
        <v>61</v>
      </c>
      <c r="K734" t="s">
        <v>25</v>
      </c>
      <c r="L734">
        <v>5</v>
      </c>
      <c r="M734">
        <v>220000</v>
      </c>
      <c r="N734">
        <v>20</v>
      </c>
      <c r="O734">
        <v>25595.98</v>
      </c>
    </row>
    <row r="735" spans="1:15" x14ac:dyDescent="0.3">
      <c r="A735" t="s">
        <v>1167</v>
      </c>
      <c r="B735" t="s">
        <v>639</v>
      </c>
      <c r="C735" t="s">
        <v>427</v>
      </c>
      <c r="D735" t="s">
        <v>55</v>
      </c>
      <c r="E735" t="s">
        <v>119</v>
      </c>
      <c r="F735" t="s">
        <v>31</v>
      </c>
      <c r="G735" t="s">
        <v>120</v>
      </c>
      <c r="H735" t="s">
        <v>33</v>
      </c>
      <c r="I735" t="s">
        <v>34</v>
      </c>
      <c r="J735" t="s">
        <v>35</v>
      </c>
      <c r="K735" t="s">
        <v>81</v>
      </c>
      <c r="L735">
        <v>3</v>
      </c>
      <c r="M735">
        <v>20400</v>
      </c>
      <c r="N735">
        <v>20</v>
      </c>
      <c r="O735">
        <v>4322.07</v>
      </c>
    </row>
    <row r="736" spans="1:15" x14ac:dyDescent="0.3">
      <c r="A736" t="s">
        <v>1168</v>
      </c>
      <c r="B736" t="s">
        <v>245</v>
      </c>
      <c r="C736" t="s">
        <v>222</v>
      </c>
      <c r="D736" t="s">
        <v>85</v>
      </c>
      <c r="E736" t="s">
        <v>19</v>
      </c>
      <c r="F736" t="s">
        <v>20</v>
      </c>
      <c r="G736" t="s">
        <v>21</v>
      </c>
      <c r="H736" t="s">
        <v>59</v>
      </c>
      <c r="I736" t="s">
        <v>93</v>
      </c>
      <c r="J736" t="s">
        <v>94</v>
      </c>
      <c r="K736" t="s">
        <v>62</v>
      </c>
      <c r="L736">
        <v>2</v>
      </c>
      <c r="M736">
        <v>99000</v>
      </c>
      <c r="N736">
        <v>10</v>
      </c>
      <c r="O736">
        <v>17358.39</v>
      </c>
    </row>
    <row r="737" spans="1:15" x14ac:dyDescent="0.3">
      <c r="A737" t="s">
        <v>1169</v>
      </c>
      <c r="B737" t="s">
        <v>247</v>
      </c>
      <c r="C737" t="s">
        <v>416</v>
      </c>
      <c r="D737" t="s">
        <v>85</v>
      </c>
      <c r="E737" t="s">
        <v>130</v>
      </c>
      <c r="F737" t="s">
        <v>131</v>
      </c>
      <c r="G737" t="s">
        <v>132</v>
      </c>
      <c r="H737" t="s">
        <v>40</v>
      </c>
      <c r="I737" t="s">
        <v>41</v>
      </c>
      <c r="J737" t="s">
        <v>42</v>
      </c>
      <c r="K737" t="s">
        <v>25</v>
      </c>
      <c r="L737">
        <v>5</v>
      </c>
      <c r="M737">
        <v>1800</v>
      </c>
      <c r="N737">
        <v>20</v>
      </c>
      <c r="O737">
        <v>287.31</v>
      </c>
    </row>
    <row r="738" spans="1:15" x14ac:dyDescent="0.3">
      <c r="A738" t="s">
        <v>1170</v>
      </c>
      <c r="B738" t="s">
        <v>662</v>
      </c>
      <c r="C738" t="s">
        <v>309</v>
      </c>
      <c r="D738" t="s">
        <v>85</v>
      </c>
      <c r="E738" t="s">
        <v>66</v>
      </c>
      <c r="F738" t="s">
        <v>20</v>
      </c>
      <c r="G738" t="s">
        <v>67</v>
      </c>
      <c r="H738" t="s">
        <v>22</v>
      </c>
      <c r="I738" t="s">
        <v>23</v>
      </c>
      <c r="J738" t="s">
        <v>24</v>
      </c>
      <c r="K738" t="s">
        <v>43</v>
      </c>
      <c r="L738">
        <v>3</v>
      </c>
      <c r="M738">
        <v>30600</v>
      </c>
      <c r="N738">
        <v>15</v>
      </c>
      <c r="O738">
        <v>4614.99</v>
      </c>
    </row>
    <row r="739" spans="1:15" x14ac:dyDescent="0.3">
      <c r="A739" t="s">
        <v>1171</v>
      </c>
      <c r="B739" t="s">
        <v>256</v>
      </c>
      <c r="C739" t="s">
        <v>1039</v>
      </c>
      <c r="D739" t="s">
        <v>18</v>
      </c>
      <c r="E739" t="s">
        <v>30</v>
      </c>
      <c r="F739" t="s">
        <v>31</v>
      </c>
      <c r="G739" t="s">
        <v>32</v>
      </c>
      <c r="H739" t="s">
        <v>40</v>
      </c>
      <c r="I739" t="s">
        <v>50</v>
      </c>
      <c r="J739" t="s">
        <v>51</v>
      </c>
      <c r="K739" t="s">
        <v>43</v>
      </c>
      <c r="L739">
        <v>5</v>
      </c>
      <c r="M739">
        <v>29250</v>
      </c>
      <c r="N739">
        <v>10</v>
      </c>
      <c r="O739">
        <v>4641.67</v>
      </c>
    </row>
    <row r="740" spans="1:15" x14ac:dyDescent="0.3">
      <c r="A740" t="s">
        <v>1172</v>
      </c>
      <c r="B740" t="s">
        <v>194</v>
      </c>
      <c r="C740" t="s">
        <v>195</v>
      </c>
      <c r="D740" t="s">
        <v>29</v>
      </c>
      <c r="E740" t="s">
        <v>19</v>
      </c>
      <c r="F740" t="s">
        <v>20</v>
      </c>
      <c r="G740" t="s">
        <v>21</v>
      </c>
      <c r="H740" t="s">
        <v>59</v>
      </c>
      <c r="I740" t="s">
        <v>93</v>
      </c>
      <c r="J740" t="s">
        <v>94</v>
      </c>
      <c r="K740" t="s">
        <v>25</v>
      </c>
      <c r="L740">
        <v>3</v>
      </c>
      <c r="M740">
        <v>132000</v>
      </c>
      <c r="N740">
        <v>20</v>
      </c>
      <c r="O740">
        <v>25711.09</v>
      </c>
    </row>
    <row r="741" spans="1:15" x14ac:dyDescent="0.3">
      <c r="A741" t="s">
        <v>1173</v>
      </c>
      <c r="B741" t="s">
        <v>329</v>
      </c>
      <c r="C741" t="s">
        <v>377</v>
      </c>
      <c r="D741" t="s">
        <v>47</v>
      </c>
      <c r="E741" t="s">
        <v>113</v>
      </c>
      <c r="F741" t="s">
        <v>114</v>
      </c>
      <c r="G741" t="s">
        <v>115</v>
      </c>
      <c r="H741" t="s">
        <v>33</v>
      </c>
      <c r="I741" t="s">
        <v>34</v>
      </c>
      <c r="J741" t="s">
        <v>35</v>
      </c>
      <c r="K741" t="s">
        <v>81</v>
      </c>
      <c r="L741">
        <v>2</v>
      </c>
      <c r="M741">
        <v>2880</v>
      </c>
      <c r="N741">
        <v>20</v>
      </c>
      <c r="O741">
        <v>244.88</v>
      </c>
    </row>
    <row r="742" spans="1:15" x14ac:dyDescent="0.3">
      <c r="A742" t="s">
        <v>1174</v>
      </c>
      <c r="B742" t="s">
        <v>220</v>
      </c>
      <c r="C742" t="s">
        <v>1156</v>
      </c>
      <c r="D742" t="s">
        <v>98</v>
      </c>
      <c r="E742" t="s">
        <v>130</v>
      </c>
      <c r="F742" t="s">
        <v>131</v>
      </c>
      <c r="G742" t="s">
        <v>132</v>
      </c>
      <c r="H742" t="s">
        <v>33</v>
      </c>
      <c r="I742" t="s">
        <v>34</v>
      </c>
      <c r="J742" t="s">
        <v>35</v>
      </c>
      <c r="K742" t="s">
        <v>43</v>
      </c>
      <c r="L742">
        <v>4</v>
      </c>
      <c r="M742">
        <v>1620</v>
      </c>
      <c r="N742">
        <v>10</v>
      </c>
      <c r="O742">
        <v>139.13</v>
      </c>
    </row>
    <row r="743" spans="1:15" x14ac:dyDescent="0.3">
      <c r="A743" t="s">
        <v>1175</v>
      </c>
      <c r="B743" t="s">
        <v>292</v>
      </c>
      <c r="C743" t="s">
        <v>96</v>
      </c>
      <c r="D743" t="s">
        <v>39</v>
      </c>
      <c r="E743" t="s">
        <v>106</v>
      </c>
      <c r="F743" t="s">
        <v>20</v>
      </c>
      <c r="G743" t="s">
        <v>49</v>
      </c>
      <c r="H743" t="s">
        <v>22</v>
      </c>
      <c r="I743" t="s">
        <v>23</v>
      </c>
      <c r="J743" t="s">
        <v>24</v>
      </c>
      <c r="K743" t="s">
        <v>81</v>
      </c>
      <c r="L743">
        <v>1</v>
      </c>
      <c r="M743">
        <v>1980</v>
      </c>
      <c r="N743">
        <v>10</v>
      </c>
      <c r="O743">
        <v>428.15</v>
      </c>
    </row>
    <row r="744" spans="1:15" x14ac:dyDescent="0.3">
      <c r="A744" t="s">
        <v>1176</v>
      </c>
      <c r="B744" t="s">
        <v>533</v>
      </c>
      <c r="C744" t="s">
        <v>636</v>
      </c>
      <c r="D744" t="s">
        <v>18</v>
      </c>
      <c r="E744" t="s">
        <v>19</v>
      </c>
      <c r="F744" t="s">
        <v>20</v>
      </c>
      <c r="G744" t="s">
        <v>21</v>
      </c>
      <c r="H744" t="s">
        <v>33</v>
      </c>
      <c r="I744" t="s">
        <v>68</v>
      </c>
      <c r="J744" t="s">
        <v>69</v>
      </c>
      <c r="K744" t="s">
        <v>62</v>
      </c>
      <c r="L744">
        <v>5</v>
      </c>
      <c r="M744">
        <v>220000</v>
      </c>
      <c r="N744">
        <v>20</v>
      </c>
      <c r="O744">
        <v>42756.81</v>
      </c>
    </row>
    <row r="745" spans="1:15" x14ac:dyDescent="0.3">
      <c r="A745" t="s">
        <v>1177</v>
      </c>
      <c r="B745" t="s">
        <v>738</v>
      </c>
      <c r="C745" t="s">
        <v>1178</v>
      </c>
      <c r="D745" t="s">
        <v>80</v>
      </c>
      <c r="E745" t="s">
        <v>19</v>
      </c>
      <c r="F745" t="s">
        <v>20</v>
      </c>
      <c r="G745" t="s">
        <v>21</v>
      </c>
      <c r="H745" t="s">
        <v>59</v>
      </c>
      <c r="I745" t="s">
        <v>60</v>
      </c>
      <c r="J745" t="s">
        <v>61</v>
      </c>
      <c r="K745" t="s">
        <v>81</v>
      </c>
      <c r="L745">
        <v>4</v>
      </c>
      <c r="M745">
        <v>209000</v>
      </c>
      <c r="N745">
        <v>5</v>
      </c>
      <c r="O745">
        <v>23038.03</v>
      </c>
    </row>
    <row r="746" spans="1:15" x14ac:dyDescent="0.3">
      <c r="A746" t="s">
        <v>1179</v>
      </c>
      <c r="B746" t="s">
        <v>314</v>
      </c>
      <c r="C746" t="s">
        <v>91</v>
      </c>
      <c r="D746" t="s">
        <v>80</v>
      </c>
      <c r="E746" t="s">
        <v>89</v>
      </c>
      <c r="F746" t="s">
        <v>20</v>
      </c>
      <c r="G746" t="s">
        <v>49</v>
      </c>
      <c r="H746" t="s">
        <v>59</v>
      </c>
      <c r="I746" t="s">
        <v>60</v>
      </c>
      <c r="J746" t="s">
        <v>61</v>
      </c>
      <c r="K746" t="s">
        <v>25</v>
      </c>
      <c r="L746">
        <v>3</v>
      </c>
      <c r="M746">
        <v>2700</v>
      </c>
      <c r="N746">
        <v>0</v>
      </c>
      <c r="O746">
        <v>461.48</v>
      </c>
    </row>
    <row r="747" spans="1:15" x14ac:dyDescent="0.3">
      <c r="A747" t="s">
        <v>1180</v>
      </c>
      <c r="B747" t="s">
        <v>336</v>
      </c>
      <c r="C747" t="s">
        <v>328</v>
      </c>
      <c r="D747" t="s">
        <v>18</v>
      </c>
      <c r="E747" t="s">
        <v>106</v>
      </c>
      <c r="F747" t="s">
        <v>20</v>
      </c>
      <c r="G747" t="s">
        <v>49</v>
      </c>
      <c r="H747" t="s">
        <v>59</v>
      </c>
      <c r="I747" t="s">
        <v>60</v>
      </c>
      <c r="J747" t="s">
        <v>61</v>
      </c>
      <c r="K747" t="s">
        <v>81</v>
      </c>
      <c r="L747">
        <v>5</v>
      </c>
      <c r="M747">
        <v>8800</v>
      </c>
      <c r="N747">
        <v>20</v>
      </c>
      <c r="O747">
        <v>1022.01</v>
      </c>
    </row>
    <row r="748" spans="1:15" x14ac:dyDescent="0.3">
      <c r="A748" t="s">
        <v>1181</v>
      </c>
      <c r="B748" t="s">
        <v>558</v>
      </c>
      <c r="C748" t="s">
        <v>158</v>
      </c>
      <c r="D748" t="s">
        <v>29</v>
      </c>
      <c r="E748" t="s">
        <v>106</v>
      </c>
      <c r="F748" t="s">
        <v>20</v>
      </c>
      <c r="G748" t="s">
        <v>49</v>
      </c>
      <c r="H748" t="s">
        <v>40</v>
      </c>
      <c r="I748" t="s">
        <v>41</v>
      </c>
      <c r="J748" t="s">
        <v>42</v>
      </c>
      <c r="K748" t="s">
        <v>43</v>
      </c>
      <c r="L748">
        <v>3</v>
      </c>
      <c r="M748">
        <v>5280</v>
      </c>
      <c r="N748">
        <v>20</v>
      </c>
      <c r="O748">
        <v>715.72</v>
      </c>
    </row>
    <row r="749" spans="1:15" x14ac:dyDescent="0.3">
      <c r="A749" t="s">
        <v>1182</v>
      </c>
      <c r="B749" t="s">
        <v>482</v>
      </c>
      <c r="C749" t="s">
        <v>660</v>
      </c>
      <c r="D749" t="s">
        <v>18</v>
      </c>
      <c r="E749" t="s">
        <v>30</v>
      </c>
      <c r="F749" t="s">
        <v>31</v>
      </c>
      <c r="G749" t="s">
        <v>32</v>
      </c>
      <c r="H749" t="s">
        <v>33</v>
      </c>
      <c r="I749" t="s">
        <v>34</v>
      </c>
      <c r="J749" t="s">
        <v>35</v>
      </c>
      <c r="K749" t="s">
        <v>62</v>
      </c>
      <c r="L749">
        <v>1</v>
      </c>
      <c r="M749">
        <v>6175</v>
      </c>
      <c r="N749">
        <v>5</v>
      </c>
      <c r="O749">
        <v>511.12</v>
      </c>
    </row>
    <row r="750" spans="1:15" x14ac:dyDescent="0.3">
      <c r="A750" t="s">
        <v>1183</v>
      </c>
      <c r="B750" t="s">
        <v>943</v>
      </c>
      <c r="C750" t="s">
        <v>568</v>
      </c>
      <c r="D750" t="s">
        <v>29</v>
      </c>
      <c r="E750" t="s">
        <v>106</v>
      </c>
      <c r="F750" t="s">
        <v>20</v>
      </c>
      <c r="G750" t="s">
        <v>49</v>
      </c>
      <c r="H750" t="s">
        <v>33</v>
      </c>
      <c r="I750" t="s">
        <v>68</v>
      </c>
      <c r="J750" t="s">
        <v>133</v>
      </c>
      <c r="K750" t="s">
        <v>62</v>
      </c>
      <c r="L750">
        <v>4</v>
      </c>
      <c r="M750">
        <v>7920</v>
      </c>
      <c r="N750">
        <v>10</v>
      </c>
      <c r="O750">
        <v>1311.72</v>
      </c>
    </row>
    <row r="751" spans="1:15" x14ac:dyDescent="0.3">
      <c r="A751" t="s">
        <v>1184</v>
      </c>
      <c r="B751" t="s">
        <v>457</v>
      </c>
      <c r="C751" t="s">
        <v>144</v>
      </c>
      <c r="D751" t="s">
        <v>80</v>
      </c>
      <c r="E751" t="s">
        <v>130</v>
      </c>
      <c r="F751" t="s">
        <v>131</v>
      </c>
      <c r="G751" t="s">
        <v>132</v>
      </c>
      <c r="H751" t="s">
        <v>22</v>
      </c>
      <c r="I751" t="s">
        <v>155</v>
      </c>
      <c r="J751" t="s">
        <v>156</v>
      </c>
      <c r="K751" t="s">
        <v>43</v>
      </c>
      <c r="L751">
        <v>2</v>
      </c>
      <c r="M751">
        <v>900</v>
      </c>
      <c r="N751">
        <v>0</v>
      </c>
      <c r="O751">
        <v>92.03</v>
      </c>
    </row>
    <row r="752" spans="1:15" x14ac:dyDescent="0.3">
      <c r="A752" t="s">
        <v>1185</v>
      </c>
      <c r="B752" t="s">
        <v>161</v>
      </c>
      <c r="C752" t="s">
        <v>162</v>
      </c>
      <c r="D752" t="s">
        <v>85</v>
      </c>
      <c r="E752" t="s">
        <v>30</v>
      </c>
      <c r="F752" t="s">
        <v>31</v>
      </c>
      <c r="G752" t="s">
        <v>32</v>
      </c>
      <c r="H752" t="s">
        <v>33</v>
      </c>
      <c r="I752" t="s">
        <v>68</v>
      </c>
      <c r="J752" t="s">
        <v>133</v>
      </c>
      <c r="K752" t="s">
        <v>81</v>
      </c>
      <c r="L752">
        <v>5</v>
      </c>
      <c r="M752">
        <v>29250</v>
      </c>
      <c r="N752">
        <v>10</v>
      </c>
      <c r="O752">
        <v>2852</v>
      </c>
    </row>
    <row r="753" spans="1:15" x14ac:dyDescent="0.3">
      <c r="A753" t="s">
        <v>1186</v>
      </c>
      <c r="B753" t="s">
        <v>821</v>
      </c>
      <c r="C753" t="s">
        <v>406</v>
      </c>
      <c r="D753" t="s">
        <v>18</v>
      </c>
      <c r="E753" t="s">
        <v>56</v>
      </c>
      <c r="F753" t="s">
        <v>57</v>
      </c>
      <c r="G753" t="s">
        <v>58</v>
      </c>
      <c r="H753" t="s">
        <v>59</v>
      </c>
      <c r="I753" t="s">
        <v>60</v>
      </c>
      <c r="J753" t="s">
        <v>61</v>
      </c>
      <c r="K753" t="s">
        <v>43</v>
      </c>
      <c r="L753">
        <v>1</v>
      </c>
      <c r="M753">
        <v>280</v>
      </c>
      <c r="N753">
        <v>20</v>
      </c>
      <c r="O753">
        <v>35.99</v>
      </c>
    </row>
    <row r="754" spans="1:15" x14ac:dyDescent="0.3">
      <c r="A754" t="s">
        <v>1187</v>
      </c>
      <c r="B754" t="s">
        <v>493</v>
      </c>
      <c r="C754" t="s">
        <v>275</v>
      </c>
      <c r="D754" t="s">
        <v>47</v>
      </c>
      <c r="E754" t="s">
        <v>30</v>
      </c>
      <c r="F754" t="s">
        <v>31</v>
      </c>
      <c r="G754" t="s">
        <v>32</v>
      </c>
      <c r="H754" t="s">
        <v>59</v>
      </c>
      <c r="I754" t="s">
        <v>60</v>
      </c>
      <c r="J754" t="s">
        <v>61</v>
      </c>
      <c r="K754" t="s">
        <v>25</v>
      </c>
      <c r="L754">
        <v>5</v>
      </c>
      <c r="M754">
        <v>32500</v>
      </c>
      <c r="N754">
        <v>0</v>
      </c>
      <c r="O754">
        <v>6732.65</v>
      </c>
    </row>
    <row r="755" spans="1:15" x14ac:dyDescent="0.3">
      <c r="A755" t="s">
        <v>1188</v>
      </c>
      <c r="B755" t="s">
        <v>187</v>
      </c>
      <c r="C755" t="s">
        <v>469</v>
      </c>
      <c r="D755" t="s">
        <v>18</v>
      </c>
      <c r="E755" t="s">
        <v>119</v>
      </c>
      <c r="F755" t="s">
        <v>31</v>
      </c>
      <c r="G755" t="s">
        <v>120</v>
      </c>
      <c r="H755" t="s">
        <v>40</v>
      </c>
      <c r="I755" t="s">
        <v>41</v>
      </c>
      <c r="J755" t="s">
        <v>42</v>
      </c>
      <c r="K755" t="s">
        <v>81</v>
      </c>
      <c r="L755">
        <v>2</v>
      </c>
      <c r="M755">
        <v>14450</v>
      </c>
      <c r="N755">
        <v>15</v>
      </c>
      <c r="O755">
        <v>1337.01</v>
      </c>
    </row>
    <row r="756" spans="1:15" x14ac:dyDescent="0.3">
      <c r="A756" t="s">
        <v>1189</v>
      </c>
      <c r="B756" t="s">
        <v>112</v>
      </c>
      <c r="C756" t="s">
        <v>665</v>
      </c>
      <c r="D756" t="s">
        <v>102</v>
      </c>
      <c r="E756" t="s">
        <v>19</v>
      </c>
      <c r="F756" t="s">
        <v>20</v>
      </c>
      <c r="G756" t="s">
        <v>21</v>
      </c>
      <c r="H756" t="s">
        <v>40</v>
      </c>
      <c r="I756" t="s">
        <v>50</v>
      </c>
      <c r="J756" t="s">
        <v>51</v>
      </c>
      <c r="K756" t="s">
        <v>25</v>
      </c>
      <c r="L756">
        <v>5</v>
      </c>
      <c r="M756">
        <v>247500</v>
      </c>
      <c r="N756">
        <v>10</v>
      </c>
      <c r="O756">
        <v>46381.71</v>
      </c>
    </row>
    <row r="757" spans="1:15" x14ac:dyDescent="0.3">
      <c r="A757" t="s">
        <v>1190</v>
      </c>
      <c r="B757" t="s">
        <v>408</v>
      </c>
      <c r="C757" t="s">
        <v>876</v>
      </c>
      <c r="D757" t="s">
        <v>29</v>
      </c>
      <c r="E757" t="s">
        <v>56</v>
      </c>
      <c r="F757" t="s">
        <v>57</v>
      </c>
      <c r="G757" t="s">
        <v>58</v>
      </c>
      <c r="H757" t="s">
        <v>59</v>
      </c>
      <c r="I757" t="s">
        <v>60</v>
      </c>
      <c r="J757" t="s">
        <v>61</v>
      </c>
      <c r="K757" t="s">
        <v>62</v>
      </c>
      <c r="L757">
        <v>5</v>
      </c>
      <c r="M757">
        <v>1400</v>
      </c>
      <c r="N757">
        <v>20</v>
      </c>
      <c r="O757">
        <v>245.08</v>
      </c>
    </row>
    <row r="758" spans="1:15" x14ac:dyDescent="0.3">
      <c r="A758" t="s">
        <v>1191</v>
      </c>
      <c r="B758" t="s">
        <v>239</v>
      </c>
      <c r="C758" t="s">
        <v>194</v>
      </c>
      <c r="D758" t="s">
        <v>47</v>
      </c>
      <c r="E758" t="s">
        <v>19</v>
      </c>
      <c r="F758" t="s">
        <v>20</v>
      </c>
      <c r="G758" t="s">
        <v>21</v>
      </c>
      <c r="H758" t="s">
        <v>59</v>
      </c>
      <c r="I758" t="s">
        <v>93</v>
      </c>
      <c r="J758" t="s">
        <v>94</v>
      </c>
      <c r="K758" t="s">
        <v>25</v>
      </c>
      <c r="L758">
        <v>1</v>
      </c>
      <c r="M758">
        <v>46750</v>
      </c>
      <c r="N758">
        <v>15</v>
      </c>
      <c r="O758">
        <v>7168.81</v>
      </c>
    </row>
    <row r="759" spans="1:15" x14ac:dyDescent="0.3">
      <c r="A759" t="s">
        <v>1192</v>
      </c>
      <c r="B759" t="s">
        <v>247</v>
      </c>
      <c r="C759" t="s">
        <v>340</v>
      </c>
      <c r="D759" t="s">
        <v>39</v>
      </c>
      <c r="E759" t="s">
        <v>119</v>
      </c>
      <c r="F759" t="s">
        <v>31</v>
      </c>
      <c r="G759" t="s">
        <v>120</v>
      </c>
      <c r="H759" t="s">
        <v>22</v>
      </c>
      <c r="I759" t="s">
        <v>155</v>
      </c>
      <c r="J759" t="s">
        <v>156</v>
      </c>
      <c r="K759" t="s">
        <v>62</v>
      </c>
      <c r="L759">
        <v>4</v>
      </c>
      <c r="M759">
        <v>28900</v>
      </c>
      <c r="N759">
        <v>15</v>
      </c>
      <c r="O759">
        <v>2634.14</v>
      </c>
    </row>
    <row r="760" spans="1:15" x14ac:dyDescent="0.3">
      <c r="A760" t="s">
        <v>1193</v>
      </c>
      <c r="B760" t="s">
        <v>474</v>
      </c>
      <c r="C760" t="s">
        <v>211</v>
      </c>
      <c r="D760" t="s">
        <v>18</v>
      </c>
      <c r="E760" t="s">
        <v>119</v>
      </c>
      <c r="F760" t="s">
        <v>31</v>
      </c>
      <c r="G760" t="s">
        <v>120</v>
      </c>
      <c r="H760" t="s">
        <v>59</v>
      </c>
      <c r="I760" t="s">
        <v>60</v>
      </c>
      <c r="J760" t="s">
        <v>61</v>
      </c>
      <c r="K760" t="s">
        <v>81</v>
      </c>
      <c r="L760">
        <v>2</v>
      </c>
      <c r="M760">
        <v>16150</v>
      </c>
      <c r="N760">
        <v>5</v>
      </c>
      <c r="O760">
        <v>2919.18</v>
      </c>
    </row>
    <row r="761" spans="1:15" x14ac:dyDescent="0.3">
      <c r="A761" t="s">
        <v>1194</v>
      </c>
      <c r="B761" t="s">
        <v>409</v>
      </c>
      <c r="C761" t="s">
        <v>521</v>
      </c>
      <c r="D761" t="s">
        <v>102</v>
      </c>
      <c r="E761" t="s">
        <v>48</v>
      </c>
      <c r="F761" t="s">
        <v>20</v>
      </c>
      <c r="G761" t="s">
        <v>49</v>
      </c>
      <c r="H761" t="s">
        <v>22</v>
      </c>
      <c r="I761" t="s">
        <v>155</v>
      </c>
      <c r="J761" t="s">
        <v>156</v>
      </c>
      <c r="K761" t="s">
        <v>25</v>
      </c>
      <c r="L761">
        <v>4</v>
      </c>
      <c r="M761">
        <v>5100</v>
      </c>
      <c r="N761">
        <v>15</v>
      </c>
      <c r="O761">
        <v>840.33</v>
      </c>
    </row>
    <row r="762" spans="1:15" x14ac:dyDescent="0.3">
      <c r="A762" t="s">
        <v>1195</v>
      </c>
      <c r="B762" t="s">
        <v>265</v>
      </c>
      <c r="C762" t="s">
        <v>147</v>
      </c>
      <c r="D762" t="s">
        <v>98</v>
      </c>
      <c r="E762" t="s">
        <v>106</v>
      </c>
      <c r="F762" t="s">
        <v>20</v>
      </c>
      <c r="G762" t="s">
        <v>49</v>
      </c>
      <c r="H762" t="s">
        <v>40</v>
      </c>
      <c r="I762" t="s">
        <v>41</v>
      </c>
      <c r="J762" t="s">
        <v>42</v>
      </c>
      <c r="K762" t="s">
        <v>25</v>
      </c>
      <c r="L762">
        <v>4</v>
      </c>
      <c r="M762">
        <v>7920</v>
      </c>
      <c r="N762">
        <v>10</v>
      </c>
      <c r="O762">
        <v>933.57</v>
      </c>
    </row>
    <row r="763" spans="1:15" x14ac:dyDescent="0.3">
      <c r="A763" t="s">
        <v>1196</v>
      </c>
      <c r="B763" t="s">
        <v>895</v>
      </c>
      <c r="C763" t="s">
        <v>424</v>
      </c>
      <c r="D763" t="s">
        <v>85</v>
      </c>
      <c r="E763" t="s">
        <v>66</v>
      </c>
      <c r="F763" t="s">
        <v>20</v>
      </c>
      <c r="G763" t="s">
        <v>67</v>
      </c>
      <c r="H763" t="s">
        <v>40</v>
      </c>
      <c r="I763" t="s">
        <v>41</v>
      </c>
      <c r="J763" t="s">
        <v>42</v>
      </c>
      <c r="K763" t="s">
        <v>81</v>
      </c>
      <c r="L763">
        <v>2</v>
      </c>
      <c r="M763">
        <v>19200</v>
      </c>
      <c r="N763">
        <v>20</v>
      </c>
      <c r="O763">
        <v>3022.87</v>
      </c>
    </row>
    <row r="764" spans="1:15" x14ac:dyDescent="0.3">
      <c r="A764" t="s">
        <v>1197</v>
      </c>
      <c r="B764" t="s">
        <v>831</v>
      </c>
      <c r="C764" t="s">
        <v>549</v>
      </c>
      <c r="D764" t="s">
        <v>98</v>
      </c>
      <c r="E764" t="s">
        <v>119</v>
      </c>
      <c r="F764" t="s">
        <v>31</v>
      </c>
      <c r="G764" t="s">
        <v>120</v>
      </c>
      <c r="H764" t="s">
        <v>59</v>
      </c>
      <c r="I764" t="s">
        <v>93</v>
      </c>
      <c r="J764" t="s">
        <v>94</v>
      </c>
      <c r="K764" t="s">
        <v>43</v>
      </c>
      <c r="L764">
        <v>4</v>
      </c>
      <c r="M764">
        <v>27200</v>
      </c>
      <c r="N764">
        <v>20</v>
      </c>
      <c r="O764">
        <v>2393.5700000000002</v>
      </c>
    </row>
    <row r="765" spans="1:15" x14ac:dyDescent="0.3">
      <c r="A765" t="s">
        <v>1198</v>
      </c>
      <c r="B765" t="s">
        <v>294</v>
      </c>
      <c r="C765" t="s">
        <v>345</v>
      </c>
      <c r="D765" t="s">
        <v>98</v>
      </c>
      <c r="E765" t="s">
        <v>119</v>
      </c>
      <c r="F765" t="s">
        <v>31</v>
      </c>
      <c r="G765" t="s">
        <v>120</v>
      </c>
      <c r="H765" t="s">
        <v>59</v>
      </c>
      <c r="I765" t="s">
        <v>60</v>
      </c>
      <c r="J765" t="s">
        <v>61</v>
      </c>
      <c r="K765" t="s">
        <v>81</v>
      </c>
      <c r="L765">
        <v>2</v>
      </c>
      <c r="M765">
        <v>16150</v>
      </c>
      <c r="N765">
        <v>5</v>
      </c>
      <c r="O765">
        <v>1476.6</v>
      </c>
    </row>
    <row r="766" spans="1:15" x14ac:dyDescent="0.3">
      <c r="A766" t="s">
        <v>1199</v>
      </c>
      <c r="B766" t="s">
        <v>878</v>
      </c>
      <c r="C766" t="s">
        <v>292</v>
      </c>
      <c r="D766" t="s">
        <v>47</v>
      </c>
      <c r="E766" t="s">
        <v>48</v>
      </c>
      <c r="F766" t="s">
        <v>20</v>
      </c>
      <c r="G766" t="s">
        <v>49</v>
      </c>
      <c r="H766" t="s">
        <v>33</v>
      </c>
      <c r="I766" t="s">
        <v>68</v>
      </c>
      <c r="J766" t="s">
        <v>69</v>
      </c>
      <c r="K766" t="s">
        <v>81</v>
      </c>
      <c r="L766">
        <v>4</v>
      </c>
      <c r="M766">
        <v>6000</v>
      </c>
      <c r="N766">
        <v>0</v>
      </c>
      <c r="O766">
        <v>1313.65</v>
      </c>
    </row>
    <row r="767" spans="1:15" x14ac:dyDescent="0.3">
      <c r="A767" t="s">
        <v>1200</v>
      </c>
      <c r="B767" t="s">
        <v>187</v>
      </c>
      <c r="C767" t="s">
        <v>76</v>
      </c>
      <c r="D767" t="s">
        <v>73</v>
      </c>
      <c r="E767" t="s">
        <v>56</v>
      </c>
      <c r="F767" t="s">
        <v>57</v>
      </c>
      <c r="G767" t="s">
        <v>58</v>
      </c>
      <c r="H767" t="s">
        <v>22</v>
      </c>
      <c r="I767" t="s">
        <v>155</v>
      </c>
      <c r="J767" t="s">
        <v>156</v>
      </c>
      <c r="K767" t="s">
        <v>43</v>
      </c>
      <c r="L767">
        <v>2</v>
      </c>
      <c r="M767">
        <v>560</v>
      </c>
      <c r="N767">
        <v>20</v>
      </c>
      <c r="O767">
        <v>54.11</v>
      </c>
    </row>
    <row r="768" spans="1:15" x14ac:dyDescent="0.3">
      <c r="A768" t="s">
        <v>1201</v>
      </c>
      <c r="B768" t="s">
        <v>200</v>
      </c>
      <c r="C768" t="s">
        <v>294</v>
      </c>
      <c r="D768" t="s">
        <v>98</v>
      </c>
      <c r="E768" t="s">
        <v>119</v>
      </c>
      <c r="F768" t="s">
        <v>31</v>
      </c>
      <c r="G768" t="s">
        <v>120</v>
      </c>
      <c r="H768" t="s">
        <v>59</v>
      </c>
      <c r="I768" t="s">
        <v>93</v>
      </c>
      <c r="J768" t="s">
        <v>94</v>
      </c>
      <c r="K768" t="s">
        <v>62</v>
      </c>
      <c r="L768">
        <v>1</v>
      </c>
      <c r="M768">
        <v>6800</v>
      </c>
      <c r="N768">
        <v>20</v>
      </c>
      <c r="O768">
        <v>784.35</v>
      </c>
    </row>
    <row r="769" spans="1:15" x14ac:dyDescent="0.3">
      <c r="A769" t="s">
        <v>1202</v>
      </c>
      <c r="B769" t="s">
        <v>1203</v>
      </c>
      <c r="C769" t="s">
        <v>910</v>
      </c>
      <c r="D769" t="s">
        <v>29</v>
      </c>
      <c r="E769" t="s">
        <v>30</v>
      </c>
      <c r="F769" t="s">
        <v>31</v>
      </c>
      <c r="G769" t="s">
        <v>32</v>
      </c>
      <c r="H769" t="s">
        <v>59</v>
      </c>
      <c r="I769" t="s">
        <v>60</v>
      </c>
      <c r="J769" t="s">
        <v>61</v>
      </c>
      <c r="K769" t="s">
        <v>62</v>
      </c>
      <c r="L769">
        <v>4</v>
      </c>
      <c r="M769">
        <v>20800</v>
      </c>
      <c r="N769">
        <v>20</v>
      </c>
      <c r="O769">
        <v>1860.22</v>
      </c>
    </row>
    <row r="770" spans="1:15" x14ac:dyDescent="0.3">
      <c r="A770" t="s">
        <v>1204</v>
      </c>
      <c r="B770" t="s">
        <v>148</v>
      </c>
      <c r="C770" t="s">
        <v>316</v>
      </c>
      <c r="D770" t="s">
        <v>98</v>
      </c>
      <c r="E770" t="s">
        <v>66</v>
      </c>
      <c r="F770" t="s">
        <v>20</v>
      </c>
      <c r="G770" t="s">
        <v>67</v>
      </c>
      <c r="H770" t="s">
        <v>59</v>
      </c>
      <c r="I770" t="s">
        <v>93</v>
      </c>
      <c r="J770" t="s">
        <v>94</v>
      </c>
      <c r="K770" t="s">
        <v>25</v>
      </c>
      <c r="L770">
        <v>4</v>
      </c>
      <c r="M770">
        <v>45600</v>
      </c>
      <c r="N770">
        <v>5</v>
      </c>
      <c r="O770">
        <v>8775.2999999999993</v>
      </c>
    </row>
    <row r="771" spans="1:15" x14ac:dyDescent="0.3">
      <c r="A771" t="s">
        <v>1205</v>
      </c>
      <c r="B771" t="s">
        <v>427</v>
      </c>
      <c r="C771" t="s">
        <v>209</v>
      </c>
      <c r="D771" t="s">
        <v>47</v>
      </c>
      <c r="E771" t="s">
        <v>56</v>
      </c>
      <c r="F771" t="s">
        <v>57</v>
      </c>
      <c r="G771" t="s">
        <v>58</v>
      </c>
      <c r="H771" t="s">
        <v>59</v>
      </c>
      <c r="I771" t="s">
        <v>60</v>
      </c>
      <c r="J771" t="s">
        <v>61</v>
      </c>
      <c r="K771" t="s">
        <v>25</v>
      </c>
      <c r="L771">
        <v>1</v>
      </c>
      <c r="M771">
        <v>350</v>
      </c>
      <c r="N771">
        <v>0</v>
      </c>
      <c r="O771">
        <v>29.65</v>
      </c>
    </row>
    <row r="772" spans="1:15" x14ac:dyDescent="0.3">
      <c r="A772" t="s">
        <v>1206</v>
      </c>
      <c r="B772" t="s">
        <v>1178</v>
      </c>
      <c r="C772" t="s">
        <v>482</v>
      </c>
      <c r="D772" t="s">
        <v>55</v>
      </c>
      <c r="E772" t="s">
        <v>66</v>
      </c>
      <c r="F772" t="s">
        <v>20</v>
      </c>
      <c r="G772" t="s">
        <v>67</v>
      </c>
      <c r="H772" t="s">
        <v>22</v>
      </c>
      <c r="I772" t="s">
        <v>155</v>
      </c>
      <c r="J772" t="s">
        <v>156</v>
      </c>
      <c r="K772" t="s">
        <v>62</v>
      </c>
      <c r="L772">
        <v>5</v>
      </c>
      <c r="M772">
        <v>60000</v>
      </c>
      <c r="N772">
        <v>0</v>
      </c>
      <c r="O772">
        <v>5444.26</v>
      </c>
    </row>
    <row r="773" spans="1:15" x14ac:dyDescent="0.3">
      <c r="A773" t="s">
        <v>1207</v>
      </c>
      <c r="B773" t="s">
        <v>679</v>
      </c>
      <c r="C773" t="s">
        <v>109</v>
      </c>
      <c r="D773" t="s">
        <v>39</v>
      </c>
      <c r="E773" t="s">
        <v>89</v>
      </c>
      <c r="F773" t="s">
        <v>20</v>
      </c>
      <c r="G773" t="s">
        <v>49</v>
      </c>
      <c r="H773" t="s">
        <v>22</v>
      </c>
      <c r="I773" t="s">
        <v>155</v>
      </c>
      <c r="J773" t="s">
        <v>156</v>
      </c>
      <c r="K773" t="s">
        <v>25</v>
      </c>
      <c r="L773">
        <v>5</v>
      </c>
      <c r="M773">
        <v>3600</v>
      </c>
      <c r="N773">
        <v>20</v>
      </c>
      <c r="O773">
        <v>409.83</v>
      </c>
    </row>
    <row r="774" spans="1:15" x14ac:dyDescent="0.3">
      <c r="A774" t="s">
        <v>1208</v>
      </c>
      <c r="B774" t="s">
        <v>476</v>
      </c>
      <c r="C774" t="s">
        <v>181</v>
      </c>
      <c r="D774" t="s">
        <v>18</v>
      </c>
      <c r="E774" t="s">
        <v>106</v>
      </c>
      <c r="F774" t="s">
        <v>20</v>
      </c>
      <c r="G774" t="s">
        <v>49</v>
      </c>
      <c r="H774" t="s">
        <v>59</v>
      </c>
      <c r="I774" t="s">
        <v>93</v>
      </c>
      <c r="J774" t="s">
        <v>94</v>
      </c>
      <c r="K774" t="s">
        <v>81</v>
      </c>
      <c r="L774">
        <v>1</v>
      </c>
      <c r="M774">
        <v>2200</v>
      </c>
      <c r="N774">
        <v>0</v>
      </c>
      <c r="O774">
        <v>457.49</v>
      </c>
    </row>
    <row r="775" spans="1:15" x14ac:dyDescent="0.3">
      <c r="A775" t="s">
        <v>1209</v>
      </c>
      <c r="B775" t="s">
        <v>111</v>
      </c>
      <c r="C775" t="s">
        <v>112</v>
      </c>
      <c r="D775" t="s">
        <v>85</v>
      </c>
      <c r="E775" t="s">
        <v>48</v>
      </c>
      <c r="F775" t="s">
        <v>20</v>
      </c>
      <c r="G775" t="s">
        <v>49</v>
      </c>
      <c r="H775" t="s">
        <v>40</v>
      </c>
      <c r="I775" t="s">
        <v>41</v>
      </c>
      <c r="J775" t="s">
        <v>42</v>
      </c>
      <c r="K775" t="s">
        <v>62</v>
      </c>
      <c r="L775">
        <v>1</v>
      </c>
      <c r="M775">
        <v>1200</v>
      </c>
      <c r="N775">
        <v>20</v>
      </c>
      <c r="O775">
        <v>154.33000000000001</v>
      </c>
    </row>
    <row r="776" spans="1:15" x14ac:dyDescent="0.3">
      <c r="A776" t="s">
        <v>1210</v>
      </c>
      <c r="B776" t="s">
        <v>64</v>
      </c>
      <c r="C776" t="s">
        <v>104</v>
      </c>
      <c r="D776" t="s">
        <v>18</v>
      </c>
      <c r="E776" t="s">
        <v>66</v>
      </c>
      <c r="F776" t="s">
        <v>20</v>
      </c>
      <c r="G776" t="s">
        <v>67</v>
      </c>
      <c r="H776" t="s">
        <v>22</v>
      </c>
      <c r="I776" t="s">
        <v>23</v>
      </c>
      <c r="J776" t="s">
        <v>24</v>
      </c>
      <c r="K776" t="s">
        <v>81</v>
      </c>
      <c r="L776">
        <v>1</v>
      </c>
      <c r="M776">
        <v>10800</v>
      </c>
      <c r="N776">
        <v>10</v>
      </c>
      <c r="O776">
        <v>2260.9499999999998</v>
      </c>
    </row>
    <row r="777" spans="1:15" x14ac:dyDescent="0.3">
      <c r="A777" t="s">
        <v>1211</v>
      </c>
      <c r="B777" t="s">
        <v>226</v>
      </c>
      <c r="C777" t="s">
        <v>179</v>
      </c>
      <c r="D777" t="s">
        <v>55</v>
      </c>
      <c r="E777" t="s">
        <v>30</v>
      </c>
      <c r="F777" t="s">
        <v>31</v>
      </c>
      <c r="G777" t="s">
        <v>32</v>
      </c>
      <c r="H777" t="s">
        <v>22</v>
      </c>
      <c r="I777" t="s">
        <v>23</v>
      </c>
      <c r="J777" t="s">
        <v>24</v>
      </c>
      <c r="K777" t="s">
        <v>43</v>
      </c>
      <c r="L777">
        <v>5</v>
      </c>
      <c r="M777">
        <v>27625</v>
      </c>
      <c r="N777">
        <v>15</v>
      </c>
      <c r="O777">
        <v>4152.05</v>
      </c>
    </row>
    <row r="778" spans="1:15" x14ac:dyDescent="0.3">
      <c r="A778" t="s">
        <v>1212</v>
      </c>
      <c r="B778" t="s">
        <v>250</v>
      </c>
      <c r="C778" t="s">
        <v>621</v>
      </c>
      <c r="D778" t="s">
        <v>98</v>
      </c>
      <c r="E778" t="s">
        <v>106</v>
      </c>
      <c r="F778" t="s">
        <v>20</v>
      </c>
      <c r="G778" t="s">
        <v>49</v>
      </c>
      <c r="H778" t="s">
        <v>33</v>
      </c>
      <c r="I778" t="s">
        <v>68</v>
      </c>
      <c r="J778" t="s">
        <v>133</v>
      </c>
      <c r="K778" t="s">
        <v>25</v>
      </c>
      <c r="L778">
        <v>2</v>
      </c>
      <c r="M778">
        <v>3520</v>
      </c>
      <c r="N778">
        <v>20</v>
      </c>
      <c r="O778">
        <v>491.93</v>
      </c>
    </row>
    <row r="779" spans="1:15" x14ac:dyDescent="0.3">
      <c r="A779" t="s">
        <v>1213</v>
      </c>
      <c r="B779" t="s">
        <v>710</v>
      </c>
      <c r="C779" t="s">
        <v>141</v>
      </c>
      <c r="D779" t="s">
        <v>80</v>
      </c>
      <c r="E779" t="s">
        <v>30</v>
      </c>
      <c r="F779" t="s">
        <v>31</v>
      </c>
      <c r="G779" t="s">
        <v>32</v>
      </c>
      <c r="H779" t="s">
        <v>33</v>
      </c>
      <c r="I779" t="s">
        <v>34</v>
      </c>
      <c r="J779" t="s">
        <v>35</v>
      </c>
      <c r="K779" t="s">
        <v>43</v>
      </c>
      <c r="L779">
        <v>1</v>
      </c>
      <c r="M779">
        <v>5525</v>
      </c>
      <c r="N779">
        <v>15</v>
      </c>
      <c r="O779">
        <v>966.84</v>
      </c>
    </row>
    <row r="780" spans="1:15" x14ac:dyDescent="0.3">
      <c r="A780" t="s">
        <v>1214</v>
      </c>
      <c r="B780" t="s">
        <v>701</v>
      </c>
      <c r="C780" t="s">
        <v>385</v>
      </c>
      <c r="D780" t="s">
        <v>85</v>
      </c>
      <c r="E780" t="s">
        <v>119</v>
      </c>
      <c r="F780" t="s">
        <v>31</v>
      </c>
      <c r="G780" t="s">
        <v>120</v>
      </c>
      <c r="H780" t="s">
        <v>22</v>
      </c>
      <c r="I780" t="s">
        <v>155</v>
      </c>
      <c r="J780" t="s">
        <v>156</v>
      </c>
      <c r="K780" t="s">
        <v>25</v>
      </c>
      <c r="L780">
        <v>3</v>
      </c>
      <c r="M780">
        <v>25500</v>
      </c>
      <c r="N780">
        <v>0</v>
      </c>
      <c r="O780">
        <v>5490.96</v>
      </c>
    </row>
    <row r="781" spans="1:15" x14ac:dyDescent="0.3">
      <c r="A781" t="s">
        <v>1215</v>
      </c>
      <c r="B781" t="s">
        <v>17</v>
      </c>
      <c r="C781" t="s">
        <v>701</v>
      </c>
      <c r="D781" t="s">
        <v>85</v>
      </c>
      <c r="E781" t="s">
        <v>130</v>
      </c>
      <c r="F781" t="s">
        <v>131</v>
      </c>
      <c r="G781" t="s">
        <v>132</v>
      </c>
      <c r="H781" t="s">
        <v>33</v>
      </c>
      <c r="I781" t="s">
        <v>68</v>
      </c>
      <c r="J781" t="s">
        <v>69</v>
      </c>
      <c r="K781" t="s">
        <v>62</v>
      </c>
      <c r="L781">
        <v>2</v>
      </c>
      <c r="M781">
        <v>900</v>
      </c>
      <c r="N781">
        <v>0</v>
      </c>
      <c r="O781">
        <v>120.06</v>
      </c>
    </row>
    <row r="782" spans="1:15" x14ac:dyDescent="0.3">
      <c r="A782" t="s">
        <v>1216</v>
      </c>
      <c r="B782" t="s">
        <v>79</v>
      </c>
      <c r="C782" t="s">
        <v>220</v>
      </c>
      <c r="D782" t="s">
        <v>73</v>
      </c>
      <c r="E782" t="s">
        <v>106</v>
      </c>
      <c r="F782" t="s">
        <v>20</v>
      </c>
      <c r="G782" t="s">
        <v>49</v>
      </c>
      <c r="H782" t="s">
        <v>59</v>
      </c>
      <c r="I782" t="s">
        <v>60</v>
      </c>
      <c r="J782" t="s">
        <v>61</v>
      </c>
      <c r="K782" t="s">
        <v>62</v>
      </c>
      <c r="L782">
        <v>2</v>
      </c>
      <c r="M782">
        <v>3960</v>
      </c>
      <c r="N782">
        <v>10</v>
      </c>
      <c r="O782">
        <v>526.24</v>
      </c>
    </row>
    <row r="783" spans="1:15" x14ac:dyDescent="0.3">
      <c r="A783" t="s">
        <v>1217</v>
      </c>
      <c r="B783" t="s">
        <v>687</v>
      </c>
      <c r="C783" t="s">
        <v>243</v>
      </c>
      <c r="D783" t="s">
        <v>18</v>
      </c>
      <c r="E783" t="s">
        <v>56</v>
      </c>
      <c r="F783" t="s">
        <v>57</v>
      </c>
      <c r="G783" t="s">
        <v>58</v>
      </c>
      <c r="H783" t="s">
        <v>22</v>
      </c>
      <c r="I783" t="s">
        <v>23</v>
      </c>
      <c r="J783" t="s">
        <v>24</v>
      </c>
      <c r="K783" t="s">
        <v>43</v>
      </c>
      <c r="L783">
        <v>5</v>
      </c>
      <c r="M783">
        <v>1662.5</v>
      </c>
      <c r="N783">
        <v>5</v>
      </c>
      <c r="O783">
        <v>353.34</v>
      </c>
    </row>
    <row r="784" spans="1:15" x14ac:dyDescent="0.3">
      <c r="A784" t="s">
        <v>1218</v>
      </c>
      <c r="B784" t="s">
        <v>118</v>
      </c>
      <c r="C784" t="s">
        <v>401</v>
      </c>
      <c r="D784" t="s">
        <v>85</v>
      </c>
      <c r="E784" t="s">
        <v>66</v>
      </c>
      <c r="F784" t="s">
        <v>20</v>
      </c>
      <c r="G784" t="s">
        <v>67</v>
      </c>
      <c r="H784" t="s">
        <v>40</v>
      </c>
      <c r="I784" t="s">
        <v>50</v>
      </c>
      <c r="J784" t="s">
        <v>51</v>
      </c>
      <c r="K784" t="s">
        <v>43</v>
      </c>
      <c r="L784">
        <v>2</v>
      </c>
      <c r="M784">
        <v>19200</v>
      </c>
      <c r="N784">
        <v>20</v>
      </c>
      <c r="O784">
        <v>3493.11</v>
      </c>
    </row>
    <row r="785" spans="1:15" x14ac:dyDescent="0.3">
      <c r="A785" t="s">
        <v>1219</v>
      </c>
      <c r="B785" t="s">
        <v>718</v>
      </c>
      <c r="C785" t="s">
        <v>331</v>
      </c>
      <c r="D785" t="s">
        <v>55</v>
      </c>
      <c r="E785" t="s">
        <v>89</v>
      </c>
      <c r="F785" t="s">
        <v>20</v>
      </c>
      <c r="G785" t="s">
        <v>49</v>
      </c>
      <c r="H785" t="s">
        <v>33</v>
      </c>
      <c r="I785" t="s">
        <v>68</v>
      </c>
      <c r="J785" t="s">
        <v>69</v>
      </c>
      <c r="K785" t="s">
        <v>25</v>
      </c>
      <c r="L785">
        <v>1</v>
      </c>
      <c r="M785">
        <v>720</v>
      </c>
      <c r="N785">
        <v>20</v>
      </c>
      <c r="O785">
        <v>141.88999999999999</v>
      </c>
    </row>
    <row r="786" spans="1:15" x14ac:dyDescent="0.3">
      <c r="A786" t="s">
        <v>1220</v>
      </c>
      <c r="B786" t="s">
        <v>171</v>
      </c>
      <c r="C786" t="s">
        <v>566</v>
      </c>
      <c r="D786" t="s">
        <v>47</v>
      </c>
      <c r="E786" t="s">
        <v>119</v>
      </c>
      <c r="F786" t="s">
        <v>31</v>
      </c>
      <c r="G786" t="s">
        <v>120</v>
      </c>
      <c r="H786" t="s">
        <v>40</v>
      </c>
      <c r="I786" t="s">
        <v>50</v>
      </c>
      <c r="J786" t="s">
        <v>51</v>
      </c>
      <c r="K786" t="s">
        <v>62</v>
      </c>
      <c r="L786">
        <v>4</v>
      </c>
      <c r="M786">
        <v>34000</v>
      </c>
      <c r="N786">
        <v>0</v>
      </c>
      <c r="O786">
        <v>4783.96</v>
      </c>
    </row>
    <row r="787" spans="1:15" x14ac:dyDescent="0.3">
      <c r="A787" t="s">
        <v>1221</v>
      </c>
      <c r="B787" t="s">
        <v>333</v>
      </c>
      <c r="C787" t="s">
        <v>147</v>
      </c>
      <c r="D787" t="s">
        <v>39</v>
      </c>
      <c r="E787" t="s">
        <v>66</v>
      </c>
      <c r="F787" t="s">
        <v>20</v>
      </c>
      <c r="G787" t="s">
        <v>67</v>
      </c>
      <c r="H787" t="s">
        <v>22</v>
      </c>
      <c r="I787" t="s">
        <v>23</v>
      </c>
      <c r="J787" t="s">
        <v>24</v>
      </c>
      <c r="K787" t="s">
        <v>25</v>
      </c>
      <c r="L787">
        <v>1</v>
      </c>
      <c r="M787">
        <v>12000</v>
      </c>
      <c r="N787">
        <v>0</v>
      </c>
      <c r="O787">
        <v>1051.25</v>
      </c>
    </row>
    <row r="788" spans="1:15" x14ac:dyDescent="0.3">
      <c r="A788" t="s">
        <v>1222</v>
      </c>
      <c r="B788" t="s">
        <v>27</v>
      </c>
      <c r="C788" t="s">
        <v>28</v>
      </c>
      <c r="D788" t="s">
        <v>80</v>
      </c>
      <c r="E788" t="s">
        <v>106</v>
      </c>
      <c r="F788" t="s">
        <v>20</v>
      </c>
      <c r="G788" t="s">
        <v>49</v>
      </c>
      <c r="H788" t="s">
        <v>33</v>
      </c>
      <c r="I788" t="s">
        <v>34</v>
      </c>
      <c r="J788" t="s">
        <v>35</v>
      </c>
      <c r="K788" t="s">
        <v>81</v>
      </c>
      <c r="L788">
        <v>4</v>
      </c>
      <c r="M788">
        <v>8360</v>
      </c>
      <c r="N788">
        <v>5</v>
      </c>
      <c r="O788">
        <v>708.04</v>
      </c>
    </row>
    <row r="789" spans="1:15" x14ac:dyDescent="0.3">
      <c r="A789" t="s">
        <v>1223</v>
      </c>
      <c r="B789" t="s">
        <v>38</v>
      </c>
      <c r="C789" t="s">
        <v>618</v>
      </c>
      <c r="D789" t="s">
        <v>80</v>
      </c>
      <c r="E789" t="s">
        <v>19</v>
      </c>
      <c r="F789" t="s">
        <v>20</v>
      </c>
      <c r="G789" t="s">
        <v>21</v>
      </c>
      <c r="H789" t="s">
        <v>40</v>
      </c>
      <c r="I789" t="s">
        <v>50</v>
      </c>
      <c r="J789" t="s">
        <v>51</v>
      </c>
      <c r="K789" t="s">
        <v>25</v>
      </c>
      <c r="L789">
        <v>2</v>
      </c>
      <c r="M789">
        <v>110000</v>
      </c>
      <c r="N789">
        <v>0</v>
      </c>
      <c r="O789">
        <v>22200.49</v>
      </c>
    </row>
    <row r="790" spans="1:15" x14ac:dyDescent="0.3">
      <c r="A790" t="s">
        <v>1224</v>
      </c>
      <c r="B790" t="s">
        <v>515</v>
      </c>
      <c r="C790" t="s">
        <v>84</v>
      </c>
      <c r="D790" t="s">
        <v>18</v>
      </c>
      <c r="E790" t="s">
        <v>48</v>
      </c>
      <c r="F790" t="s">
        <v>20</v>
      </c>
      <c r="G790" t="s">
        <v>49</v>
      </c>
      <c r="H790" t="s">
        <v>40</v>
      </c>
      <c r="I790" t="s">
        <v>41</v>
      </c>
      <c r="J790" t="s">
        <v>42</v>
      </c>
      <c r="K790" t="s">
        <v>43</v>
      </c>
      <c r="L790">
        <v>3</v>
      </c>
      <c r="M790">
        <v>3600</v>
      </c>
      <c r="N790">
        <v>20</v>
      </c>
      <c r="O790">
        <v>324.94</v>
      </c>
    </row>
    <row r="791" spans="1:15" x14ac:dyDescent="0.3">
      <c r="A791" t="s">
        <v>1225</v>
      </c>
      <c r="B791" t="s">
        <v>198</v>
      </c>
      <c r="C791" t="s">
        <v>162</v>
      </c>
      <c r="D791" t="s">
        <v>47</v>
      </c>
      <c r="E791" t="s">
        <v>113</v>
      </c>
      <c r="F791" t="s">
        <v>114</v>
      </c>
      <c r="G791" t="s">
        <v>115</v>
      </c>
      <c r="H791" t="s">
        <v>59</v>
      </c>
      <c r="I791" t="s">
        <v>93</v>
      </c>
      <c r="J791" t="s">
        <v>94</v>
      </c>
      <c r="K791" t="s">
        <v>81</v>
      </c>
      <c r="L791">
        <v>5</v>
      </c>
      <c r="M791">
        <v>7650</v>
      </c>
      <c r="N791">
        <v>15</v>
      </c>
      <c r="O791">
        <v>1030.32</v>
      </c>
    </row>
    <row r="792" spans="1:15" x14ac:dyDescent="0.3">
      <c r="A792" t="s">
        <v>1226</v>
      </c>
      <c r="B792" t="s">
        <v>447</v>
      </c>
      <c r="C792" t="s">
        <v>424</v>
      </c>
      <c r="D792" t="s">
        <v>98</v>
      </c>
      <c r="E792" t="s">
        <v>130</v>
      </c>
      <c r="F792" t="s">
        <v>131</v>
      </c>
      <c r="G792" t="s">
        <v>132</v>
      </c>
      <c r="H792" t="s">
        <v>22</v>
      </c>
      <c r="I792" t="s">
        <v>155</v>
      </c>
      <c r="J792" t="s">
        <v>156</v>
      </c>
      <c r="K792" t="s">
        <v>62</v>
      </c>
      <c r="L792">
        <v>5</v>
      </c>
      <c r="M792">
        <v>1800</v>
      </c>
      <c r="N792">
        <v>20</v>
      </c>
      <c r="O792">
        <v>365.41</v>
      </c>
    </row>
    <row r="793" spans="1:15" x14ac:dyDescent="0.3">
      <c r="A793" t="s">
        <v>1227</v>
      </c>
      <c r="B793" t="s">
        <v>226</v>
      </c>
      <c r="C793" t="s">
        <v>144</v>
      </c>
      <c r="D793" t="s">
        <v>98</v>
      </c>
      <c r="E793" t="s">
        <v>89</v>
      </c>
      <c r="F793" t="s">
        <v>20</v>
      </c>
      <c r="G793" t="s">
        <v>49</v>
      </c>
      <c r="H793" t="s">
        <v>59</v>
      </c>
      <c r="I793" t="s">
        <v>93</v>
      </c>
      <c r="J793" t="s">
        <v>94</v>
      </c>
      <c r="K793" t="s">
        <v>43</v>
      </c>
      <c r="L793">
        <v>5</v>
      </c>
      <c r="M793">
        <v>4050</v>
      </c>
      <c r="N793">
        <v>10</v>
      </c>
      <c r="O793">
        <v>517.30999999999995</v>
      </c>
    </row>
    <row r="794" spans="1:15" x14ac:dyDescent="0.3">
      <c r="A794" t="s">
        <v>1228</v>
      </c>
      <c r="B794" t="s">
        <v>1050</v>
      </c>
      <c r="C794" t="s">
        <v>499</v>
      </c>
      <c r="D794" t="s">
        <v>85</v>
      </c>
      <c r="E794" t="s">
        <v>106</v>
      </c>
      <c r="F794" t="s">
        <v>20</v>
      </c>
      <c r="G794" t="s">
        <v>49</v>
      </c>
      <c r="H794" t="s">
        <v>33</v>
      </c>
      <c r="I794" t="s">
        <v>68</v>
      </c>
      <c r="J794" t="s">
        <v>133</v>
      </c>
      <c r="K794" t="s">
        <v>62</v>
      </c>
      <c r="L794">
        <v>5</v>
      </c>
      <c r="M794">
        <v>11000</v>
      </c>
      <c r="N794">
        <v>0</v>
      </c>
      <c r="O794">
        <v>1868.25</v>
      </c>
    </row>
    <row r="795" spans="1:15" x14ac:dyDescent="0.3">
      <c r="A795" t="s">
        <v>1229</v>
      </c>
      <c r="B795" t="s">
        <v>139</v>
      </c>
      <c r="C795" t="s">
        <v>835</v>
      </c>
      <c r="D795" t="s">
        <v>47</v>
      </c>
      <c r="E795" t="s">
        <v>30</v>
      </c>
      <c r="F795" t="s">
        <v>31</v>
      </c>
      <c r="G795" t="s">
        <v>32</v>
      </c>
      <c r="H795" t="s">
        <v>59</v>
      </c>
      <c r="I795" t="s">
        <v>93</v>
      </c>
      <c r="J795" t="s">
        <v>94</v>
      </c>
      <c r="K795" t="s">
        <v>43</v>
      </c>
      <c r="L795">
        <v>4</v>
      </c>
      <c r="M795">
        <v>22100</v>
      </c>
      <c r="N795">
        <v>15</v>
      </c>
      <c r="O795">
        <v>3584.44</v>
      </c>
    </row>
    <row r="796" spans="1:15" x14ac:dyDescent="0.3">
      <c r="A796" t="s">
        <v>1230</v>
      </c>
      <c r="B796" t="s">
        <v>372</v>
      </c>
      <c r="C796" t="s">
        <v>212</v>
      </c>
      <c r="D796" t="s">
        <v>80</v>
      </c>
      <c r="E796" t="s">
        <v>119</v>
      </c>
      <c r="F796" t="s">
        <v>31</v>
      </c>
      <c r="G796" t="s">
        <v>120</v>
      </c>
      <c r="H796" t="s">
        <v>59</v>
      </c>
      <c r="I796" t="s">
        <v>60</v>
      </c>
      <c r="J796" t="s">
        <v>61</v>
      </c>
      <c r="K796" t="s">
        <v>62</v>
      </c>
      <c r="L796">
        <v>5</v>
      </c>
      <c r="M796">
        <v>40375</v>
      </c>
      <c r="N796">
        <v>5</v>
      </c>
      <c r="O796">
        <v>5523.05</v>
      </c>
    </row>
    <row r="797" spans="1:15" x14ac:dyDescent="0.3">
      <c r="A797" t="s">
        <v>1231</v>
      </c>
      <c r="B797" t="s">
        <v>706</v>
      </c>
      <c r="C797" t="s">
        <v>197</v>
      </c>
      <c r="D797" t="s">
        <v>55</v>
      </c>
      <c r="E797" t="s">
        <v>19</v>
      </c>
      <c r="F797" t="s">
        <v>20</v>
      </c>
      <c r="G797" t="s">
        <v>21</v>
      </c>
      <c r="H797" t="s">
        <v>40</v>
      </c>
      <c r="I797" t="s">
        <v>41</v>
      </c>
      <c r="J797" t="s">
        <v>42</v>
      </c>
      <c r="K797" t="s">
        <v>81</v>
      </c>
      <c r="L797">
        <v>5</v>
      </c>
      <c r="M797">
        <v>220000</v>
      </c>
      <c r="N797">
        <v>20</v>
      </c>
      <c r="O797">
        <v>21701.19</v>
      </c>
    </row>
    <row r="798" spans="1:15" x14ac:dyDescent="0.3">
      <c r="A798" t="s">
        <v>1232</v>
      </c>
      <c r="B798" t="s">
        <v>1233</v>
      </c>
      <c r="C798" t="s">
        <v>490</v>
      </c>
      <c r="D798" t="s">
        <v>18</v>
      </c>
      <c r="E798" t="s">
        <v>48</v>
      </c>
      <c r="F798" t="s">
        <v>20</v>
      </c>
      <c r="G798" t="s">
        <v>49</v>
      </c>
      <c r="H798" t="s">
        <v>22</v>
      </c>
      <c r="I798" t="s">
        <v>155</v>
      </c>
      <c r="J798" t="s">
        <v>156</v>
      </c>
      <c r="K798" t="s">
        <v>81</v>
      </c>
      <c r="L798">
        <v>3</v>
      </c>
      <c r="M798">
        <v>4500</v>
      </c>
      <c r="N798">
        <v>0</v>
      </c>
      <c r="O798">
        <v>457.93</v>
      </c>
    </row>
    <row r="799" spans="1:15" x14ac:dyDescent="0.3">
      <c r="A799" t="s">
        <v>1234</v>
      </c>
      <c r="B799" t="s">
        <v>533</v>
      </c>
      <c r="C799" t="s">
        <v>91</v>
      </c>
      <c r="D799" t="s">
        <v>47</v>
      </c>
      <c r="E799" t="s">
        <v>119</v>
      </c>
      <c r="F799" t="s">
        <v>31</v>
      </c>
      <c r="G799" t="s">
        <v>120</v>
      </c>
      <c r="H799" t="s">
        <v>22</v>
      </c>
      <c r="I799" t="s">
        <v>155</v>
      </c>
      <c r="J799" t="s">
        <v>156</v>
      </c>
      <c r="K799" t="s">
        <v>81</v>
      </c>
      <c r="L799">
        <v>4</v>
      </c>
      <c r="M799">
        <v>27200</v>
      </c>
      <c r="N799">
        <v>20</v>
      </c>
      <c r="O799">
        <v>2415.79</v>
      </c>
    </row>
    <row r="800" spans="1:15" x14ac:dyDescent="0.3">
      <c r="A800" t="s">
        <v>1235</v>
      </c>
      <c r="B800" t="s">
        <v>618</v>
      </c>
      <c r="C800" t="s">
        <v>245</v>
      </c>
      <c r="D800" t="s">
        <v>98</v>
      </c>
      <c r="E800" t="s">
        <v>30</v>
      </c>
      <c r="F800" t="s">
        <v>31</v>
      </c>
      <c r="G800" t="s">
        <v>32</v>
      </c>
      <c r="H800" t="s">
        <v>33</v>
      </c>
      <c r="I800" t="s">
        <v>68</v>
      </c>
      <c r="J800" t="s">
        <v>133</v>
      </c>
      <c r="K800" t="s">
        <v>81</v>
      </c>
      <c r="L800">
        <v>5</v>
      </c>
      <c r="M800">
        <v>30875</v>
      </c>
      <c r="N800">
        <v>5</v>
      </c>
      <c r="O800">
        <v>5390.03</v>
      </c>
    </row>
    <row r="801" spans="1:15" x14ac:dyDescent="0.3">
      <c r="A801" t="s">
        <v>1236</v>
      </c>
      <c r="B801" t="s">
        <v>358</v>
      </c>
      <c r="C801" t="s">
        <v>831</v>
      </c>
      <c r="D801" t="s">
        <v>102</v>
      </c>
      <c r="E801" t="s">
        <v>66</v>
      </c>
      <c r="F801" t="s">
        <v>20</v>
      </c>
      <c r="G801" t="s">
        <v>67</v>
      </c>
      <c r="H801" t="s">
        <v>33</v>
      </c>
      <c r="I801" t="s">
        <v>34</v>
      </c>
      <c r="J801" t="s">
        <v>35</v>
      </c>
      <c r="K801" t="s">
        <v>25</v>
      </c>
      <c r="L801">
        <v>3</v>
      </c>
      <c r="M801">
        <v>32400</v>
      </c>
      <c r="N801">
        <v>10</v>
      </c>
      <c r="O801">
        <v>6162.45</v>
      </c>
    </row>
    <row r="802" spans="1:15" x14ac:dyDescent="0.3">
      <c r="A802" t="s">
        <v>1237</v>
      </c>
      <c r="B802" t="s">
        <v>720</v>
      </c>
      <c r="C802" t="s">
        <v>653</v>
      </c>
      <c r="D802" t="s">
        <v>85</v>
      </c>
      <c r="E802" t="s">
        <v>119</v>
      </c>
      <c r="F802" t="s">
        <v>31</v>
      </c>
      <c r="G802" t="s">
        <v>120</v>
      </c>
      <c r="H802" t="s">
        <v>40</v>
      </c>
      <c r="I802" t="s">
        <v>50</v>
      </c>
      <c r="J802" t="s">
        <v>51</v>
      </c>
      <c r="K802" t="s">
        <v>43</v>
      </c>
      <c r="L802">
        <v>5</v>
      </c>
      <c r="M802">
        <v>36125</v>
      </c>
      <c r="N802">
        <v>15</v>
      </c>
      <c r="O802">
        <v>6887.72</v>
      </c>
    </row>
    <row r="803" spans="1:15" x14ac:dyDescent="0.3">
      <c r="A803" t="s">
        <v>1238</v>
      </c>
      <c r="B803" t="s">
        <v>855</v>
      </c>
      <c r="C803" t="s">
        <v>1067</v>
      </c>
      <c r="D803" t="s">
        <v>98</v>
      </c>
      <c r="E803" t="s">
        <v>130</v>
      </c>
      <c r="F803" t="s">
        <v>131</v>
      </c>
      <c r="G803" t="s">
        <v>132</v>
      </c>
      <c r="H803" t="s">
        <v>59</v>
      </c>
      <c r="I803" t="s">
        <v>93</v>
      </c>
      <c r="J803" t="s">
        <v>94</v>
      </c>
      <c r="K803" t="s">
        <v>43</v>
      </c>
      <c r="L803">
        <v>1</v>
      </c>
      <c r="M803">
        <v>427.5</v>
      </c>
      <c r="N803">
        <v>5</v>
      </c>
      <c r="O803">
        <v>86.15</v>
      </c>
    </row>
    <row r="804" spans="1:15" x14ac:dyDescent="0.3">
      <c r="A804" t="s">
        <v>1239</v>
      </c>
      <c r="B804" t="s">
        <v>256</v>
      </c>
      <c r="C804" t="s">
        <v>739</v>
      </c>
      <c r="D804" t="s">
        <v>80</v>
      </c>
      <c r="E804" t="s">
        <v>119</v>
      </c>
      <c r="F804" t="s">
        <v>31</v>
      </c>
      <c r="G804" t="s">
        <v>120</v>
      </c>
      <c r="H804" t="s">
        <v>59</v>
      </c>
      <c r="I804" t="s">
        <v>93</v>
      </c>
      <c r="J804" t="s">
        <v>94</v>
      </c>
      <c r="K804" t="s">
        <v>62</v>
      </c>
      <c r="L804">
        <v>1</v>
      </c>
      <c r="M804">
        <v>6800</v>
      </c>
      <c r="N804">
        <v>20</v>
      </c>
      <c r="O804">
        <v>1164.9000000000001</v>
      </c>
    </row>
    <row r="805" spans="1:15" x14ac:dyDescent="0.3">
      <c r="A805" t="s">
        <v>1240</v>
      </c>
      <c r="B805" t="s">
        <v>766</v>
      </c>
      <c r="C805" t="s">
        <v>336</v>
      </c>
      <c r="D805" t="s">
        <v>73</v>
      </c>
      <c r="E805" t="s">
        <v>113</v>
      </c>
      <c r="F805" t="s">
        <v>114</v>
      </c>
      <c r="G805" t="s">
        <v>115</v>
      </c>
      <c r="H805" t="s">
        <v>22</v>
      </c>
      <c r="I805" t="s">
        <v>155</v>
      </c>
      <c r="J805" t="s">
        <v>156</v>
      </c>
      <c r="K805" t="s">
        <v>43</v>
      </c>
      <c r="L805">
        <v>5</v>
      </c>
      <c r="M805">
        <v>8550</v>
      </c>
      <c r="N805">
        <v>5</v>
      </c>
      <c r="O805">
        <v>801.6</v>
      </c>
    </row>
    <row r="806" spans="1:15" x14ac:dyDescent="0.3">
      <c r="A806" t="s">
        <v>1241</v>
      </c>
      <c r="B806" t="s">
        <v>368</v>
      </c>
      <c r="C806" t="s">
        <v>249</v>
      </c>
      <c r="D806" t="s">
        <v>73</v>
      </c>
      <c r="E806" t="s">
        <v>66</v>
      </c>
      <c r="F806" t="s">
        <v>20</v>
      </c>
      <c r="G806" t="s">
        <v>67</v>
      </c>
      <c r="H806" t="s">
        <v>59</v>
      </c>
      <c r="I806" t="s">
        <v>93</v>
      </c>
      <c r="J806" t="s">
        <v>94</v>
      </c>
      <c r="K806" t="s">
        <v>81</v>
      </c>
      <c r="L806">
        <v>5</v>
      </c>
      <c r="M806">
        <v>54000</v>
      </c>
      <c r="N806">
        <v>10</v>
      </c>
      <c r="O806">
        <v>10444.33</v>
      </c>
    </row>
    <row r="807" spans="1:15" x14ac:dyDescent="0.3">
      <c r="A807" t="s">
        <v>1242</v>
      </c>
      <c r="B807" t="s">
        <v>445</v>
      </c>
      <c r="C807" t="s">
        <v>841</v>
      </c>
      <c r="D807" t="s">
        <v>55</v>
      </c>
      <c r="E807" t="s">
        <v>66</v>
      </c>
      <c r="F807" t="s">
        <v>20</v>
      </c>
      <c r="G807" t="s">
        <v>67</v>
      </c>
      <c r="H807" t="s">
        <v>59</v>
      </c>
      <c r="I807" t="s">
        <v>93</v>
      </c>
      <c r="J807" t="s">
        <v>94</v>
      </c>
      <c r="K807" t="s">
        <v>62</v>
      </c>
      <c r="L807">
        <v>2</v>
      </c>
      <c r="M807">
        <v>21600</v>
      </c>
      <c r="N807">
        <v>10</v>
      </c>
      <c r="O807">
        <v>4153.59</v>
      </c>
    </row>
    <row r="808" spans="1:15" x14ac:dyDescent="0.3">
      <c r="A808" t="s">
        <v>1243</v>
      </c>
      <c r="B808" t="s">
        <v>831</v>
      </c>
      <c r="C808" t="s">
        <v>382</v>
      </c>
      <c r="D808" t="s">
        <v>39</v>
      </c>
      <c r="E808" t="s">
        <v>113</v>
      </c>
      <c r="F808" t="s">
        <v>114</v>
      </c>
      <c r="G808" t="s">
        <v>115</v>
      </c>
      <c r="H808" t="s">
        <v>33</v>
      </c>
      <c r="I808" t="s">
        <v>68</v>
      </c>
      <c r="J808" t="s">
        <v>69</v>
      </c>
      <c r="K808" t="s">
        <v>62</v>
      </c>
      <c r="L808">
        <v>1</v>
      </c>
      <c r="M808">
        <v>1620</v>
      </c>
      <c r="N808">
        <v>10</v>
      </c>
      <c r="O808">
        <v>332.93</v>
      </c>
    </row>
    <row r="809" spans="1:15" x14ac:dyDescent="0.3">
      <c r="A809" t="s">
        <v>1244</v>
      </c>
      <c r="B809" t="s">
        <v>427</v>
      </c>
      <c r="C809" t="s">
        <v>812</v>
      </c>
      <c r="D809" t="s">
        <v>29</v>
      </c>
      <c r="E809" t="s">
        <v>30</v>
      </c>
      <c r="F809" t="s">
        <v>31</v>
      </c>
      <c r="G809" t="s">
        <v>32</v>
      </c>
      <c r="H809" t="s">
        <v>40</v>
      </c>
      <c r="I809" t="s">
        <v>41</v>
      </c>
      <c r="J809" t="s">
        <v>42</v>
      </c>
      <c r="K809" t="s">
        <v>81</v>
      </c>
      <c r="L809">
        <v>3</v>
      </c>
      <c r="M809">
        <v>19500</v>
      </c>
      <c r="N809">
        <v>0</v>
      </c>
      <c r="O809">
        <v>2452.69</v>
      </c>
    </row>
    <row r="810" spans="1:15" x14ac:dyDescent="0.3">
      <c r="A810" t="s">
        <v>1245</v>
      </c>
      <c r="B810" t="s">
        <v>322</v>
      </c>
      <c r="C810" t="s">
        <v>195</v>
      </c>
      <c r="D810" t="s">
        <v>85</v>
      </c>
      <c r="E810" t="s">
        <v>89</v>
      </c>
      <c r="F810" t="s">
        <v>20</v>
      </c>
      <c r="G810" t="s">
        <v>49</v>
      </c>
      <c r="H810" t="s">
        <v>59</v>
      </c>
      <c r="I810" t="s">
        <v>93</v>
      </c>
      <c r="J810" t="s">
        <v>94</v>
      </c>
      <c r="K810" t="s">
        <v>43</v>
      </c>
      <c r="L810">
        <v>2</v>
      </c>
      <c r="M810">
        <v>1530</v>
      </c>
      <c r="N810">
        <v>15</v>
      </c>
      <c r="O810">
        <v>262.51</v>
      </c>
    </row>
    <row r="811" spans="1:15" x14ac:dyDescent="0.3">
      <c r="A811" t="s">
        <v>1246</v>
      </c>
      <c r="B811" t="s">
        <v>722</v>
      </c>
      <c r="C811" t="s">
        <v>782</v>
      </c>
      <c r="D811" t="s">
        <v>18</v>
      </c>
      <c r="E811" t="s">
        <v>130</v>
      </c>
      <c r="F811" t="s">
        <v>131</v>
      </c>
      <c r="G811" t="s">
        <v>132</v>
      </c>
      <c r="H811" t="s">
        <v>59</v>
      </c>
      <c r="I811" t="s">
        <v>60</v>
      </c>
      <c r="J811" t="s">
        <v>61</v>
      </c>
      <c r="K811" t="s">
        <v>25</v>
      </c>
      <c r="L811">
        <v>4</v>
      </c>
      <c r="M811">
        <v>1440</v>
      </c>
      <c r="N811">
        <v>20</v>
      </c>
      <c r="O811">
        <v>223.9</v>
      </c>
    </row>
    <row r="812" spans="1:15" x14ac:dyDescent="0.3">
      <c r="A812" t="s">
        <v>1247</v>
      </c>
      <c r="B812" t="s">
        <v>552</v>
      </c>
      <c r="C812" t="s">
        <v>681</v>
      </c>
      <c r="D812" t="s">
        <v>85</v>
      </c>
      <c r="E812" t="s">
        <v>119</v>
      </c>
      <c r="F812" t="s">
        <v>31</v>
      </c>
      <c r="G812" t="s">
        <v>120</v>
      </c>
      <c r="H812" t="s">
        <v>40</v>
      </c>
      <c r="I812" t="s">
        <v>41</v>
      </c>
      <c r="J812" t="s">
        <v>42</v>
      </c>
      <c r="K812" t="s">
        <v>81</v>
      </c>
      <c r="L812">
        <v>1</v>
      </c>
      <c r="M812">
        <v>7650</v>
      </c>
      <c r="N812">
        <v>10</v>
      </c>
      <c r="O812">
        <v>966.48</v>
      </c>
    </row>
    <row r="813" spans="1:15" x14ac:dyDescent="0.3">
      <c r="A813" t="s">
        <v>1248</v>
      </c>
      <c r="B813" t="s">
        <v>96</v>
      </c>
      <c r="C813" t="s">
        <v>491</v>
      </c>
      <c r="D813" t="s">
        <v>98</v>
      </c>
      <c r="E813" t="s">
        <v>113</v>
      </c>
      <c r="F813" t="s">
        <v>114</v>
      </c>
      <c r="G813" t="s">
        <v>115</v>
      </c>
      <c r="H813" t="s">
        <v>40</v>
      </c>
      <c r="I813" t="s">
        <v>50</v>
      </c>
      <c r="J813" t="s">
        <v>51</v>
      </c>
      <c r="K813" t="s">
        <v>25</v>
      </c>
      <c r="L813">
        <v>1</v>
      </c>
      <c r="M813">
        <v>1800</v>
      </c>
      <c r="N813">
        <v>0</v>
      </c>
      <c r="O813">
        <v>388.92</v>
      </c>
    </row>
    <row r="814" spans="1:15" x14ac:dyDescent="0.3">
      <c r="A814" t="s">
        <v>1249</v>
      </c>
      <c r="B814" t="s">
        <v>242</v>
      </c>
      <c r="C814" t="s">
        <v>138</v>
      </c>
      <c r="D814" t="s">
        <v>47</v>
      </c>
      <c r="E814" t="s">
        <v>113</v>
      </c>
      <c r="F814" t="s">
        <v>114</v>
      </c>
      <c r="G814" t="s">
        <v>115</v>
      </c>
      <c r="H814" t="s">
        <v>33</v>
      </c>
      <c r="I814" t="s">
        <v>34</v>
      </c>
      <c r="J814" t="s">
        <v>35</v>
      </c>
      <c r="K814" t="s">
        <v>25</v>
      </c>
      <c r="L814">
        <v>1</v>
      </c>
      <c r="M814">
        <v>1620</v>
      </c>
      <c r="N814">
        <v>10</v>
      </c>
      <c r="O814">
        <v>264.82</v>
      </c>
    </row>
    <row r="815" spans="1:15" x14ac:dyDescent="0.3">
      <c r="A815" t="s">
        <v>1250</v>
      </c>
      <c r="B815" t="s">
        <v>503</v>
      </c>
      <c r="C815" t="s">
        <v>858</v>
      </c>
      <c r="D815" t="s">
        <v>85</v>
      </c>
      <c r="E815" t="s">
        <v>130</v>
      </c>
      <c r="F815" t="s">
        <v>131</v>
      </c>
      <c r="G815" t="s">
        <v>132</v>
      </c>
      <c r="H815" t="s">
        <v>40</v>
      </c>
      <c r="I815" t="s">
        <v>41</v>
      </c>
      <c r="J815" t="s">
        <v>42</v>
      </c>
      <c r="K815" t="s">
        <v>62</v>
      </c>
      <c r="L815">
        <v>5</v>
      </c>
      <c r="M815">
        <v>2025</v>
      </c>
      <c r="N815">
        <v>10</v>
      </c>
      <c r="O815">
        <v>343.19</v>
      </c>
    </row>
    <row r="816" spans="1:15" x14ac:dyDescent="0.3">
      <c r="A816" t="s">
        <v>1251</v>
      </c>
      <c r="B816" t="s">
        <v>440</v>
      </c>
      <c r="C816" t="s">
        <v>173</v>
      </c>
      <c r="D816" t="s">
        <v>39</v>
      </c>
      <c r="E816" t="s">
        <v>130</v>
      </c>
      <c r="F816" t="s">
        <v>131</v>
      </c>
      <c r="G816" t="s">
        <v>132</v>
      </c>
      <c r="H816" t="s">
        <v>59</v>
      </c>
      <c r="I816" t="s">
        <v>93</v>
      </c>
      <c r="J816" t="s">
        <v>94</v>
      </c>
      <c r="K816" t="s">
        <v>62</v>
      </c>
      <c r="L816">
        <v>2</v>
      </c>
      <c r="M816">
        <v>765</v>
      </c>
      <c r="N816">
        <v>15</v>
      </c>
      <c r="O816">
        <v>101.35</v>
      </c>
    </row>
    <row r="817" spans="1:15" x14ac:dyDescent="0.3">
      <c r="A817" t="s">
        <v>1252</v>
      </c>
      <c r="B817" t="s">
        <v>568</v>
      </c>
      <c r="C817" t="s">
        <v>122</v>
      </c>
      <c r="D817" t="s">
        <v>39</v>
      </c>
      <c r="E817" t="s">
        <v>130</v>
      </c>
      <c r="F817" t="s">
        <v>131</v>
      </c>
      <c r="G817" t="s">
        <v>132</v>
      </c>
      <c r="H817" t="s">
        <v>33</v>
      </c>
      <c r="I817" t="s">
        <v>68</v>
      </c>
      <c r="J817" t="s">
        <v>133</v>
      </c>
      <c r="K817" t="s">
        <v>25</v>
      </c>
      <c r="L817">
        <v>2</v>
      </c>
      <c r="M817">
        <v>720</v>
      </c>
      <c r="N817">
        <v>20</v>
      </c>
      <c r="O817">
        <v>128.01</v>
      </c>
    </row>
    <row r="818" spans="1:15" x14ac:dyDescent="0.3">
      <c r="A818" t="s">
        <v>1253</v>
      </c>
      <c r="B818" t="s">
        <v>493</v>
      </c>
      <c r="C818" t="s">
        <v>252</v>
      </c>
      <c r="D818" t="s">
        <v>47</v>
      </c>
      <c r="E818" t="s">
        <v>119</v>
      </c>
      <c r="F818" t="s">
        <v>31</v>
      </c>
      <c r="G818" t="s">
        <v>120</v>
      </c>
      <c r="H818" t="s">
        <v>33</v>
      </c>
      <c r="I818" t="s">
        <v>34</v>
      </c>
      <c r="J818" t="s">
        <v>35</v>
      </c>
      <c r="K818" t="s">
        <v>62</v>
      </c>
      <c r="L818">
        <v>1</v>
      </c>
      <c r="M818">
        <v>7225</v>
      </c>
      <c r="N818">
        <v>15</v>
      </c>
      <c r="O818">
        <v>1222.8399999999999</v>
      </c>
    </row>
    <row r="819" spans="1:15" x14ac:dyDescent="0.3">
      <c r="A819" t="s">
        <v>1254</v>
      </c>
      <c r="B819" t="s">
        <v>237</v>
      </c>
      <c r="C819" t="s">
        <v>249</v>
      </c>
      <c r="D819" t="s">
        <v>29</v>
      </c>
      <c r="E819" t="s">
        <v>113</v>
      </c>
      <c r="F819" t="s">
        <v>114</v>
      </c>
      <c r="G819" t="s">
        <v>115</v>
      </c>
      <c r="H819" t="s">
        <v>59</v>
      </c>
      <c r="I819" t="s">
        <v>60</v>
      </c>
      <c r="J819" t="s">
        <v>61</v>
      </c>
      <c r="K819" t="s">
        <v>62</v>
      </c>
      <c r="L819">
        <v>3</v>
      </c>
      <c r="M819">
        <v>5130</v>
      </c>
      <c r="N819">
        <v>5</v>
      </c>
      <c r="O819">
        <v>633.36</v>
      </c>
    </row>
    <row r="820" spans="1:15" x14ac:dyDescent="0.3">
      <c r="A820" t="s">
        <v>1255</v>
      </c>
      <c r="B820" t="s">
        <v>104</v>
      </c>
      <c r="C820" t="s">
        <v>503</v>
      </c>
      <c r="D820" t="s">
        <v>55</v>
      </c>
      <c r="E820" t="s">
        <v>89</v>
      </c>
      <c r="F820" t="s">
        <v>20</v>
      </c>
      <c r="G820" t="s">
        <v>49</v>
      </c>
      <c r="H820" t="s">
        <v>59</v>
      </c>
      <c r="I820" t="s">
        <v>93</v>
      </c>
      <c r="J820" t="s">
        <v>94</v>
      </c>
      <c r="K820" t="s">
        <v>25</v>
      </c>
      <c r="L820">
        <v>1</v>
      </c>
      <c r="M820">
        <v>900</v>
      </c>
      <c r="N820">
        <v>0</v>
      </c>
      <c r="O820">
        <v>163.57</v>
      </c>
    </row>
    <row r="821" spans="1:15" x14ac:dyDescent="0.3">
      <c r="A821" t="s">
        <v>1256</v>
      </c>
      <c r="B821" t="s">
        <v>1125</v>
      </c>
      <c r="C821" t="s">
        <v>183</v>
      </c>
      <c r="D821" t="s">
        <v>102</v>
      </c>
      <c r="E821" t="s">
        <v>19</v>
      </c>
      <c r="F821" t="s">
        <v>20</v>
      </c>
      <c r="G821" t="s">
        <v>21</v>
      </c>
      <c r="H821" t="s">
        <v>33</v>
      </c>
      <c r="I821" t="s">
        <v>68</v>
      </c>
      <c r="J821" t="s">
        <v>133</v>
      </c>
      <c r="K821" t="s">
        <v>81</v>
      </c>
      <c r="L821">
        <v>5</v>
      </c>
      <c r="M821">
        <v>261250</v>
      </c>
      <c r="N821">
        <v>5</v>
      </c>
      <c r="O821">
        <v>25708.83</v>
      </c>
    </row>
    <row r="822" spans="1:15" x14ac:dyDescent="0.3">
      <c r="A822" t="s">
        <v>1257</v>
      </c>
      <c r="B822" t="s">
        <v>377</v>
      </c>
      <c r="C822" t="s">
        <v>445</v>
      </c>
      <c r="D822" t="s">
        <v>102</v>
      </c>
      <c r="E822" t="s">
        <v>66</v>
      </c>
      <c r="F822" t="s">
        <v>20</v>
      </c>
      <c r="G822" t="s">
        <v>67</v>
      </c>
      <c r="H822" t="s">
        <v>40</v>
      </c>
      <c r="I822" t="s">
        <v>50</v>
      </c>
      <c r="J822" t="s">
        <v>51</v>
      </c>
      <c r="K822" t="s">
        <v>25</v>
      </c>
      <c r="L822">
        <v>3</v>
      </c>
      <c r="M822">
        <v>36000</v>
      </c>
      <c r="N822">
        <v>0</v>
      </c>
      <c r="O822">
        <v>4026.83</v>
      </c>
    </row>
    <row r="823" spans="1:15" x14ac:dyDescent="0.3">
      <c r="A823" t="s">
        <v>1258</v>
      </c>
      <c r="B823" t="s">
        <v>457</v>
      </c>
      <c r="C823" t="s">
        <v>636</v>
      </c>
      <c r="D823" t="s">
        <v>73</v>
      </c>
      <c r="E823" t="s">
        <v>56</v>
      </c>
      <c r="F823" t="s">
        <v>57</v>
      </c>
      <c r="G823" t="s">
        <v>58</v>
      </c>
      <c r="H823" t="s">
        <v>40</v>
      </c>
      <c r="I823" t="s">
        <v>41</v>
      </c>
      <c r="J823" t="s">
        <v>42</v>
      </c>
      <c r="K823" t="s">
        <v>25</v>
      </c>
      <c r="L823">
        <v>1</v>
      </c>
      <c r="M823">
        <v>332.5</v>
      </c>
      <c r="N823">
        <v>5</v>
      </c>
      <c r="O823">
        <v>57.19</v>
      </c>
    </row>
    <row r="824" spans="1:15" x14ac:dyDescent="0.3">
      <c r="A824" t="s">
        <v>1259</v>
      </c>
      <c r="B824" t="s">
        <v>232</v>
      </c>
      <c r="C824" t="s">
        <v>484</v>
      </c>
      <c r="D824" t="s">
        <v>102</v>
      </c>
      <c r="E824" t="s">
        <v>113</v>
      </c>
      <c r="F824" t="s">
        <v>114</v>
      </c>
      <c r="G824" t="s">
        <v>115</v>
      </c>
      <c r="H824" t="s">
        <v>33</v>
      </c>
      <c r="I824" t="s">
        <v>68</v>
      </c>
      <c r="J824" t="s">
        <v>133</v>
      </c>
      <c r="K824" t="s">
        <v>81</v>
      </c>
      <c r="L824">
        <v>5</v>
      </c>
      <c r="M824">
        <v>8100</v>
      </c>
      <c r="N824">
        <v>10</v>
      </c>
      <c r="O824">
        <v>886.65</v>
      </c>
    </row>
    <row r="825" spans="1:15" x14ac:dyDescent="0.3">
      <c r="A825" t="s">
        <v>1260</v>
      </c>
      <c r="B825" t="s">
        <v>491</v>
      </c>
      <c r="C825" t="s">
        <v>65</v>
      </c>
      <c r="D825" t="s">
        <v>85</v>
      </c>
      <c r="E825" t="s">
        <v>89</v>
      </c>
      <c r="F825" t="s">
        <v>20</v>
      </c>
      <c r="G825" t="s">
        <v>49</v>
      </c>
      <c r="H825" t="s">
        <v>59</v>
      </c>
      <c r="I825" t="s">
        <v>93</v>
      </c>
      <c r="J825" t="s">
        <v>94</v>
      </c>
      <c r="K825" t="s">
        <v>43</v>
      </c>
      <c r="L825">
        <v>4</v>
      </c>
      <c r="M825">
        <v>3240</v>
      </c>
      <c r="N825">
        <v>10</v>
      </c>
      <c r="O825">
        <v>619.13</v>
      </c>
    </row>
    <row r="826" spans="1:15" x14ac:dyDescent="0.3">
      <c r="A826" t="s">
        <v>1261</v>
      </c>
      <c r="B826" t="s">
        <v>46</v>
      </c>
      <c r="C826" t="s">
        <v>474</v>
      </c>
      <c r="D826" t="s">
        <v>55</v>
      </c>
      <c r="E826" t="s">
        <v>66</v>
      </c>
      <c r="F826" t="s">
        <v>20</v>
      </c>
      <c r="G826" t="s">
        <v>67</v>
      </c>
      <c r="H826" t="s">
        <v>33</v>
      </c>
      <c r="I826" t="s">
        <v>68</v>
      </c>
      <c r="J826" t="s">
        <v>69</v>
      </c>
      <c r="K826" t="s">
        <v>81</v>
      </c>
      <c r="L826">
        <v>1</v>
      </c>
      <c r="M826">
        <v>10800</v>
      </c>
      <c r="N826">
        <v>10</v>
      </c>
      <c r="O826">
        <v>922.41</v>
      </c>
    </row>
    <row r="827" spans="1:15" x14ac:dyDescent="0.3">
      <c r="A827" t="s">
        <v>1262</v>
      </c>
      <c r="B827" t="s">
        <v>452</v>
      </c>
      <c r="C827" t="s">
        <v>177</v>
      </c>
      <c r="D827" t="s">
        <v>47</v>
      </c>
      <c r="E827" t="s">
        <v>89</v>
      </c>
      <c r="F827" t="s">
        <v>20</v>
      </c>
      <c r="G827" t="s">
        <v>49</v>
      </c>
      <c r="H827" t="s">
        <v>33</v>
      </c>
      <c r="I827" t="s">
        <v>34</v>
      </c>
      <c r="J827" t="s">
        <v>35</v>
      </c>
      <c r="K827" t="s">
        <v>81</v>
      </c>
      <c r="L827">
        <v>3</v>
      </c>
      <c r="M827">
        <v>2565</v>
      </c>
      <c r="N827">
        <v>5</v>
      </c>
      <c r="O827">
        <v>251.06</v>
      </c>
    </row>
    <row r="828" spans="1:15" x14ac:dyDescent="0.3">
      <c r="A828" t="s">
        <v>1263</v>
      </c>
      <c r="B828" t="s">
        <v>681</v>
      </c>
      <c r="C828" t="s">
        <v>706</v>
      </c>
      <c r="D828" t="s">
        <v>80</v>
      </c>
      <c r="E828" t="s">
        <v>113</v>
      </c>
      <c r="F828" t="s">
        <v>114</v>
      </c>
      <c r="G828" t="s">
        <v>115</v>
      </c>
      <c r="H828" t="s">
        <v>40</v>
      </c>
      <c r="I828" t="s">
        <v>41</v>
      </c>
      <c r="J828" t="s">
        <v>42</v>
      </c>
      <c r="K828" t="s">
        <v>43</v>
      </c>
      <c r="L828">
        <v>3</v>
      </c>
      <c r="M828">
        <v>4590</v>
      </c>
      <c r="N828">
        <v>15</v>
      </c>
      <c r="O828">
        <v>749.38</v>
      </c>
    </row>
    <row r="829" spans="1:15" x14ac:dyDescent="0.3">
      <c r="A829" t="s">
        <v>1264</v>
      </c>
      <c r="B829" t="s">
        <v>165</v>
      </c>
      <c r="C829" t="s">
        <v>208</v>
      </c>
      <c r="D829" t="s">
        <v>73</v>
      </c>
      <c r="E829" t="s">
        <v>19</v>
      </c>
      <c r="F829" t="s">
        <v>20</v>
      </c>
      <c r="G829" t="s">
        <v>21</v>
      </c>
      <c r="H829" t="s">
        <v>40</v>
      </c>
      <c r="I829" t="s">
        <v>41</v>
      </c>
      <c r="J829" t="s">
        <v>42</v>
      </c>
      <c r="K829" t="s">
        <v>43</v>
      </c>
      <c r="L829">
        <v>5</v>
      </c>
      <c r="M829">
        <v>247500</v>
      </c>
      <c r="N829">
        <v>10</v>
      </c>
      <c r="O829">
        <v>41321.14</v>
      </c>
    </row>
    <row r="830" spans="1:15" x14ac:dyDescent="0.3">
      <c r="A830" t="s">
        <v>1265</v>
      </c>
      <c r="B830" t="s">
        <v>331</v>
      </c>
      <c r="C830" t="s">
        <v>662</v>
      </c>
      <c r="D830" t="s">
        <v>85</v>
      </c>
      <c r="E830" t="s">
        <v>119</v>
      </c>
      <c r="F830" t="s">
        <v>31</v>
      </c>
      <c r="G830" t="s">
        <v>120</v>
      </c>
      <c r="H830" t="s">
        <v>33</v>
      </c>
      <c r="I830" t="s">
        <v>68</v>
      </c>
      <c r="J830" t="s">
        <v>133</v>
      </c>
      <c r="K830" t="s">
        <v>25</v>
      </c>
      <c r="L830">
        <v>2</v>
      </c>
      <c r="M830">
        <v>16150</v>
      </c>
      <c r="N830">
        <v>5</v>
      </c>
      <c r="O830">
        <v>2127.3000000000002</v>
      </c>
    </row>
    <row r="831" spans="1:15" x14ac:dyDescent="0.3">
      <c r="A831" t="s">
        <v>1266</v>
      </c>
      <c r="B831" t="s">
        <v>139</v>
      </c>
      <c r="C831" t="s">
        <v>835</v>
      </c>
      <c r="D831" t="s">
        <v>80</v>
      </c>
      <c r="E831" t="s">
        <v>66</v>
      </c>
      <c r="F831" t="s">
        <v>20</v>
      </c>
      <c r="G831" t="s">
        <v>67</v>
      </c>
      <c r="H831" t="s">
        <v>33</v>
      </c>
      <c r="I831" t="s">
        <v>68</v>
      </c>
      <c r="J831" t="s">
        <v>69</v>
      </c>
      <c r="K831" t="s">
        <v>25</v>
      </c>
      <c r="L831">
        <v>4</v>
      </c>
      <c r="M831">
        <v>40800</v>
      </c>
      <c r="N831">
        <v>15</v>
      </c>
      <c r="O831">
        <v>3787.46</v>
      </c>
    </row>
    <row r="832" spans="1:15" x14ac:dyDescent="0.3">
      <c r="A832" t="s">
        <v>1267</v>
      </c>
      <c r="B832" t="s">
        <v>275</v>
      </c>
      <c r="C832" t="s">
        <v>422</v>
      </c>
      <c r="D832" t="s">
        <v>102</v>
      </c>
      <c r="E832" t="s">
        <v>89</v>
      </c>
      <c r="F832" t="s">
        <v>20</v>
      </c>
      <c r="G832" t="s">
        <v>49</v>
      </c>
      <c r="H832" t="s">
        <v>59</v>
      </c>
      <c r="I832" t="s">
        <v>60</v>
      </c>
      <c r="J832" t="s">
        <v>61</v>
      </c>
      <c r="K832" t="s">
        <v>25</v>
      </c>
      <c r="L832">
        <v>3</v>
      </c>
      <c r="M832">
        <v>2565</v>
      </c>
      <c r="N832">
        <v>5</v>
      </c>
      <c r="O832">
        <v>250</v>
      </c>
    </row>
    <row r="833" spans="1:15" x14ac:dyDescent="0.3">
      <c r="A833" t="s">
        <v>1268</v>
      </c>
      <c r="B833" t="s">
        <v>577</v>
      </c>
      <c r="C833" t="s">
        <v>200</v>
      </c>
      <c r="D833" t="s">
        <v>98</v>
      </c>
      <c r="E833" t="s">
        <v>66</v>
      </c>
      <c r="F833" t="s">
        <v>20</v>
      </c>
      <c r="G833" t="s">
        <v>67</v>
      </c>
      <c r="H833" t="s">
        <v>40</v>
      </c>
      <c r="I833" t="s">
        <v>41</v>
      </c>
      <c r="J833" t="s">
        <v>42</v>
      </c>
      <c r="K833" t="s">
        <v>62</v>
      </c>
      <c r="L833">
        <v>1</v>
      </c>
      <c r="M833">
        <v>10200</v>
      </c>
      <c r="N833">
        <v>15</v>
      </c>
      <c r="O833">
        <v>1290.1400000000001</v>
      </c>
    </row>
    <row r="834" spans="1:15" x14ac:dyDescent="0.3">
      <c r="A834" t="s">
        <v>1269</v>
      </c>
      <c r="B834" t="s">
        <v>192</v>
      </c>
      <c r="C834" t="s">
        <v>374</v>
      </c>
      <c r="D834" t="s">
        <v>85</v>
      </c>
      <c r="E834" t="s">
        <v>130</v>
      </c>
      <c r="F834" t="s">
        <v>131</v>
      </c>
      <c r="G834" t="s">
        <v>132</v>
      </c>
      <c r="H834" t="s">
        <v>22</v>
      </c>
      <c r="I834" t="s">
        <v>23</v>
      </c>
      <c r="J834" t="s">
        <v>24</v>
      </c>
      <c r="K834" t="s">
        <v>81</v>
      </c>
      <c r="L834">
        <v>5</v>
      </c>
      <c r="M834">
        <v>1800</v>
      </c>
      <c r="N834">
        <v>20</v>
      </c>
      <c r="O834">
        <v>361.39</v>
      </c>
    </row>
    <row r="835" spans="1:15" x14ac:dyDescent="0.3">
      <c r="A835" t="s">
        <v>1270</v>
      </c>
      <c r="B835" t="s">
        <v>600</v>
      </c>
      <c r="C835" t="s">
        <v>270</v>
      </c>
      <c r="D835" t="s">
        <v>29</v>
      </c>
      <c r="E835" t="s">
        <v>106</v>
      </c>
      <c r="F835" t="s">
        <v>20</v>
      </c>
      <c r="G835" t="s">
        <v>49</v>
      </c>
      <c r="H835" t="s">
        <v>22</v>
      </c>
      <c r="I835" t="s">
        <v>155</v>
      </c>
      <c r="J835" t="s">
        <v>156</v>
      </c>
      <c r="K835" t="s">
        <v>25</v>
      </c>
      <c r="L835">
        <v>2</v>
      </c>
      <c r="M835">
        <v>3960</v>
      </c>
      <c r="N835">
        <v>10</v>
      </c>
      <c r="O835">
        <v>347.05</v>
      </c>
    </row>
    <row r="836" spans="1:15" x14ac:dyDescent="0.3">
      <c r="A836" t="s">
        <v>1271</v>
      </c>
      <c r="B836" t="s">
        <v>153</v>
      </c>
      <c r="C836" t="s">
        <v>639</v>
      </c>
      <c r="D836" t="s">
        <v>80</v>
      </c>
      <c r="E836" t="s">
        <v>89</v>
      </c>
      <c r="F836" t="s">
        <v>20</v>
      </c>
      <c r="G836" t="s">
        <v>49</v>
      </c>
      <c r="H836" t="s">
        <v>59</v>
      </c>
      <c r="I836" t="s">
        <v>60</v>
      </c>
      <c r="J836" t="s">
        <v>61</v>
      </c>
      <c r="K836" t="s">
        <v>62</v>
      </c>
      <c r="L836">
        <v>4</v>
      </c>
      <c r="M836">
        <v>3060</v>
      </c>
      <c r="N836">
        <v>15</v>
      </c>
      <c r="O836">
        <v>653.07000000000005</v>
      </c>
    </row>
    <row r="837" spans="1:15" x14ac:dyDescent="0.3">
      <c r="A837" t="s">
        <v>1272</v>
      </c>
      <c r="B837" t="s">
        <v>225</v>
      </c>
      <c r="C837" t="s">
        <v>508</v>
      </c>
      <c r="D837" t="s">
        <v>47</v>
      </c>
      <c r="E837" t="s">
        <v>119</v>
      </c>
      <c r="F837" t="s">
        <v>31</v>
      </c>
      <c r="G837" t="s">
        <v>120</v>
      </c>
      <c r="H837" t="s">
        <v>40</v>
      </c>
      <c r="I837" t="s">
        <v>50</v>
      </c>
      <c r="J837" t="s">
        <v>51</v>
      </c>
      <c r="K837" t="s">
        <v>81</v>
      </c>
      <c r="L837">
        <v>5</v>
      </c>
      <c r="M837">
        <v>36125</v>
      </c>
      <c r="N837">
        <v>15</v>
      </c>
      <c r="O837">
        <v>3686.55</v>
      </c>
    </row>
    <row r="838" spans="1:15" x14ac:dyDescent="0.3">
      <c r="A838" t="s">
        <v>1273</v>
      </c>
      <c r="B838" t="s">
        <v>191</v>
      </c>
      <c r="C838" t="s">
        <v>243</v>
      </c>
      <c r="D838" t="s">
        <v>85</v>
      </c>
      <c r="E838" t="s">
        <v>89</v>
      </c>
      <c r="F838" t="s">
        <v>20</v>
      </c>
      <c r="G838" t="s">
        <v>49</v>
      </c>
      <c r="H838" t="s">
        <v>59</v>
      </c>
      <c r="I838" t="s">
        <v>93</v>
      </c>
      <c r="J838" t="s">
        <v>94</v>
      </c>
      <c r="K838" t="s">
        <v>25</v>
      </c>
      <c r="L838">
        <v>1</v>
      </c>
      <c r="M838">
        <v>855</v>
      </c>
      <c r="N838">
        <v>5</v>
      </c>
      <c r="O838">
        <v>106.99</v>
      </c>
    </row>
    <row r="839" spans="1:15" x14ac:dyDescent="0.3">
      <c r="A839" t="s">
        <v>1274</v>
      </c>
      <c r="B839" t="s">
        <v>312</v>
      </c>
      <c r="C839" t="s">
        <v>627</v>
      </c>
      <c r="D839" t="s">
        <v>39</v>
      </c>
      <c r="E839" t="s">
        <v>89</v>
      </c>
      <c r="F839" t="s">
        <v>20</v>
      </c>
      <c r="G839" t="s">
        <v>49</v>
      </c>
      <c r="H839" t="s">
        <v>59</v>
      </c>
      <c r="I839" t="s">
        <v>60</v>
      </c>
      <c r="J839" t="s">
        <v>61</v>
      </c>
      <c r="K839" t="s">
        <v>43</v>
      </c>
      <c r="L839">
        <v>1</v>
      </c>
      <c r="M839">
        <v>855</v>
      </c>
      <c r="N839">
        <v>5</v>
      </c>
      <c r="O839">
        <v>158.71</v>
      </c>
    </row>
    <row r="840" spans="1:15" x14ac:dyDescent="0.3">
      <c r="A840" t="s">
        <v>1275</v>
      </c>
      <c r="B840" t="s">
        <v>79</v>
      </c>
      <c r="C840" t="s">
        <v>220</v>
      </c>
      <c r="D840" t="s">
        <v>98</v>
      </c>
      <c r="E840" t="s">
        <v>56</v>
      </c>
      <c r="F840" t="s">
        <v>57</v>
      </c>
      <c r="G840" t="s">
        <v>58</v>
      </c>
      <c r="H840" t="s">
        <v>22</v>
      </c>
      <c r="I840" t="s">
        <v>155</v>
      </c>
      <c r="J840" t="s">
        <v>156</v>
      </c>
      <c r="K840" t="s">
        <v>81</v>
      </c>
      <c r="L840">
        <v>5</v>
      </c>
      <c r="M840">
        <v>1750</v>
      </c>
      <c r="N840">
        <v>0</v>
      </c>
      <c r="O840">
        <v>232.47</v>
      </c>
    </row>
    <row r="841" spans="1:15" x14ac:dyDescent="0.3">
      <c r="A841" t="s">
        <v>1276</v>
      </c>
      <c r="B841" t="s">
        <v>360</v>
      </c>
      <c r="C841" t="s">
        <v>96</v>
      </c>
      <c r="D841" t="s">
        <v>18</v>
      </c>
      <c r="E841" t="s">
        <v>56</v>
      </c>
      <c r="F841" t="s">
        <v>57</v>
      </c>
      <c r="G841" t="s">
        <v>58</v>
      </c>
      <c r="H841" t="s">
        <v>40</v>
      </c>
      <c r="I841" t="s">
        <v>41</v>
      </c>
      <c r="J841" t="s">
        <v>42</v>
      </c>
      <c r="K841" t="s">
        <v>25</v>
      </c>
      <c r="L841">
        <v>3</v>
      </c>
      <c r="M841">
        <v>892.5</v>
      </c>
      <c r="N841">
        <v>15</v>
      </c>
      <c r="O841">
        <v>77.48</v>
      </c>
    </row>
    <row r="842" spans="1:15" x14ac:dyDescent="0.3">
      <c r="A842" t="s">
        <v>1277</v>
      </c>
      <c r="B842" t="s">
        <v>706</v>
      </c>
      <c r="C842" t="s">
        <v>769</v>
      </c>
      <c r="D842" t="s">
        <v>80</v>
      </c>
      <c r="E842" t="s">
        <v>119</v>
      </c>
      <c r="F842" t="s">
        <v>31</v>
      </c>
      <c r="G842" t="s">
        <v>120</v>
      </c>
      <c r="H842" t="s">
        <v>40</v>
      </c>
      <c r="I842" t="s">
        <v>50</v>
      </c>
      <c r="J842" t="s">
        <v>51</v>
      </c>
      <c r="K842" t="s">
        <v>81</v>
      </c>
      <c r="L842">
        <v>2</v>
      </c>
      <c r="M842">
        <v>17000</v>
      </c>
      <c r="N842">
        <v>0</v>
      </c>
      <c r="O842">
        <v>1878.76</v>
      </c>
    </row>
    <row r="843" spans="1:15" x14ac:dyDescent="0.3">
      <c r="A843" t="s">
        <v>1278</v>
      </c>
      <c r="B843" t="s">
        <v>201</v>
      </c>
      <c r="C843" t="s">
        <v>174</v>
      </c>
      <c r="D843" t="s">
        <v>47</v>
      </c>
      <c r="E843" t="s">
        <v>130</v>
      </c>
      <c r="F843" t="s">
        <v>131</v>
      </c>
      <c r="G843" t="s">
        <v>132</v>
      </c>
      <c r="H843" t="s">
        <v>22</v>
      </c>
      <c r="I843" t="s">
        <v>155</v>
      </c>
      <c r="J843" t="s">
        <v>156</v>
      </c>
      <c r="K843" t="s">
        <v>81</v>
      </c>
      <c r="L843">
        <v>2</v>
      </c>
      <c r="M843">
        <v>810</v>
      </c>
      <c r="N843">
        <v>10</v>
      </c>
      <c r="O843">
        <v>142.21</v>
      </c>
    </row>
    <row r="844" spans="1:15" x14ac:dyDescent="0.3">
      <c r="A844" t="s">
        <v>1279</v>
      </c>
      <c r="B844" t="s">
        <v>793</v>
      </c>
      <c r="C844" t="s">
        <v>176</v>
      </c>
      <c r="D844" t="s">
        <v>39</v>
      </c>
      <c r="E844" t="s">
        <v>130</v>
      </c>
      <c r="F844" t="s">
        <v>131</v>
      </c>
      <c r="G844" t="s">
        <v>132</v>
      </c>
      <c r="H844" t="s">
        <v>33</v>
      </c>
      <c r="I844" t="s">
        <v>68</v>
      </c>
      <c r="J844" t="s">
        <v>133</v>
      </c>
      <c r="K844" t="s">
        <v>43</v>
      </c>
      <c r="L844">
        <v>3</v>
      </c>
      <c r="M844">
        <v>1282.5</v>
      </c>
      <c r="N844">
        <v>5</v>
      </c>
      <c r="O844">
        <v>262.92</v>
      </c>
    </row>
    <row r="845" spans="1:15" x14ac:dyDescent="0.3">
      <c r="A845" t="s">
        <v>1280</v>
      </c>
      <c r="B845" t="s">
        <v>1203</v>
      </c>
      <c r="C845" t="s">
        <v>129</v>
      </c>
      <c r="D845" t="s">
        <v>18</v>
      </c>
      <c r="E845" t="s">
        <v>113</v>
      </c>
      <c r="F845" t="s">
        <v>114</v>
      </c>
      <c r="G845" t="s">
        <v>115</v>
      </c>
      <c r="H845" t="s">
        <v>33</v>
      </c>
      <c r="I845" t="s">
        <v>68</v>
      </c>
      <c r="J845" t="s">
        <v>133</v>
      </c>
      <c r="K845" t="s">
        <v>81</v>
      </c>
      <c r="L845">
        <v>1</v>
      </c>
      <c r="M845">
        <v>1710</v>
      </c>
      <c r="N845">
        <v>5</v>
      </c>
      <c r="O845">
        <v>165.39</v>
      </c>
    </row>
    <row r="846" spans="1:15" x14ac:dyDescent="0.3">
      <c r="A846" t="s">
        <v>1281</v>
      </c>
      <c r="B846" t="s">
        <v>211</v>
      </c>
      <c r="C846" t="s">
        <v>372</v>
      </c>
      <c r="D846" t="s">
        <v>80</v>
      </c>
      <c r="E846" t="s">
        <v>19</v>
      </c>
      <c r="F846" t="s">
        <v>20</v>
      </c>
      <c r="G846" t="s">
        <v>21</v>
      </c>
      <c r="H846" t="s">
        <v>40</v>
      </c>
      <c r="I846" t="s">
        <v>41</v>
      </c>
      <c r="J846" t="s">
        <v>42</v>
      </c>
      <c r="K846" t="s">
        <v>62</v>
      </c>
      <c r="L846">
        <v>3</v>
      </c>
      <c r="M846">
        <v>140250</v>
      </c>
      <c r="N846">
        <v>15</v>
      </c>
      <c r="O846">
        <v>29925.74</v>
      </c>
    </row>
    <row r="847" spans="1:15" x14ac:dyDescent="0.3">
      <c r="A847" t="s">
        <v>1282</v>
      </c>
      <c r="B847" t="s">
        <v>46</v>
      </c>
      <c r="C847" t="s">
        <v>782</v>
      </c>
      <c r="D847" t="s">
        <v>102</v>
      </c>
      <c r="E847" t="s">
        <v>48</v>
      </c>
      <c r="F847" t="s">
        <v>20</v>
      </c>
      <c r="G847" t="s">
        <v>49</v>
      </c>
      <c r="H847" t="s">
        <v>33</v>
      </c>
      <c r="I847" t="s">
        <v>34</v>
      </c>
      <c r="J847" t="s">
        <v>35</v>
      </c>
      <c r="K847" t="s">
        <v>43</v>
      </c>
      <c r="L847">
        <v>2</v>
      </c>
      <c r="M847">
        <v>2850</v>
      </c>
      <c r="N847">
        <v>5</v>
      </c>
      <c r="O847">
        <v>497.65</v>
      </c>
    </row>
    <row r="848" spans="1:15" x14ac:dyDescent="0.3">
      <c r="A848" t="s">
        <v>1283</v>
      </c>
      <c r="B848" t="s">
        <v>168</v>
      </c>
      <c r="C848" t="s">
        <v>299</v>
      </c>
      <c r="D848" t="s">
        <v>18</v>
      </c>
      <c r="E848" t="s">
        <v>106</v>
      </c>
      <c r="F848" t="s">
        <v>20</v>
      </c>
      <c r="G848" t="s">
        <v>49</v>
      </c>
      <c r="H848" t="s">
        <v>40</v>
      </c>
      <c r="I848" t="s">
        <v>50</v>
      </c>
      <c r="J848" t="s">
        <v>51</v>
      </c>
      <c r="K848" t="s">
        <v>43</v>
      </c>
      <c r="L848">
        <v>2</v>
      </c>
      <c r="M848">
        <v>3960</v>
      </c>
      <c r="N848">
        <v>10</v>
      </c>
      <c r="O848">
        <v>415.47</v>
      </c>
    </row>
    <row r="849" spans="1:15" x14ac:dyDescent="0.3">
      <c r="A849" t="s">
        <v>1284</v>
      </c>
      <c r="B849" t="s">
        <v>16</v>
      </c>
      <c r="C849" t="s">
        <v>220</v>
      </c>
      <c r="D849" t="s">
        <v>29</v>
      </c>
      <c r="E849" t="s">
        <v>113</v>
      </c>
      <c r="F849" t="s">
        <v>114</v>
      </c>
      <c r="G849" t="s">
        <v>115</v>
      </c>
      <c r="H849" t="s">
        <v>40</v>
      </c>
      <c r="I849" t="s">
        <v>50</v>
      </c>
      <c r="J849" t="s">
        <v>51</v>
      </c>
      <c r="K849" t="s">
        <v>43</v>
      </c>
      <c r="L849">
        <v>2</v>
      </c>
      <c r="M849">
        <v>3420</v>
      </c>
      <c r="N849">
        <v>5</v>
      </c>
      <c r="O849">
        <v>404.23</v>
      </c>
    </row>
    <row r="850" spans="1:15" x14ac:dyDescent="0.3">
      <c r="A850" t="s">
        <v>1285</v>
      </c>
      <c r="B850" t="s">
        <v>707</v>
      </c>
      <c r="C850" t="s">
        <v>562</v>
      </c>
      <c r="D850" t="s">
        <v>85</v>
      </c>
      <c r="E850" t="s">
        <v>19</v>
      </c>
      <c r="F850" t="s">
        <v>20</v>
      </c>
      <c r="G850" t="s">
        <v>21</v>
      </c>
      <c r="H850" t="s">
        <v>33</v>
      </c>
      <c r="I850" t="s">
        <v>34</v>
      </c>
      <c r="J850" t="s">
        <v>35</v>
      </c>
      <c r="K850" t="s">
        <v>43</v>
      </c>
      <c r="L850">
        <v>5</v>
      </c>
      <c r="M850">
        <v>275000</v>
      </c>
      <c r="N850">
        <v>0</v>
      </c>
      <c r="O850">
        <v>39379.29</v>
      </c>
    </row>
    <row r="851" spans="1:15" x14ac:dyDescent="0.3">
      <c r="A851" t="s">
        <v>1286</v>
      </c>
      <c r="B851" t="s">
        <v>128</v>
      </c>
      <c r="C851" t="s">
        <v>308</v>
      </c>
      <c r="D851" t="s">
        <v>98</v>
      </c>
      <c r="E851" t="s">
        <v>106</v>
      </c>
      <c r="F851" t="s">
        <v>20</v>
      </c>
      <c r="G851" t="s">
        <v>49</v>
      </c>
      <c r="H851" t="s">
        <v>40</v>
      </c>
      <c r="I851" t="s">
        <v>41</v>
      </c>
      <c r="J851" t="s">
        <v>42</v>
      </c>
      <c r="K851" t="s">
        <v>81</v>
      </c>
      <c r="L851">
        <v>4</v>
      </c>
      <c r="M851">
        <v>7040</v>
      </c>
      <c r="N851">
        <v>20</v>
      </c>
      <c r="O851">
        <v>1362.79</v>
      </c>
    </row>
    <row r="852" spans="1:15" x14ac:dyDescent="0.3">
      <c r="A852" t="s">
        <v>1287</v>
      </c>
      <c r="B852" t="s">
        <v>322</v>
      </c>
      <c r="C852" t="s">
        <v>194</v>
      </c>
      <c r="D852" t="s">
        <v>47</v>
      </c>
      <c r="E852" t="s">
        <v>106</v>
      </c>
      <c r="F852" t="s">
        <v>20</v>
      </c>
      <c r="G852" t="s">
        <v>49</v>
      </c>
      <c r="H852" t="s">
        <v>40</v>
      </c>
      <c r="I852" t="s">
        <v>41</v>
      </c>
      <c r="J852" t="s">
        <v>42</v>
      </c>
      <c r="K852" t="s">
        <v>62</v>
      </c>
      <c r="L852">
        <v>2</v>
      </c>
      <c r="M852">
        <v>4180</v>
      </c>
      <c r="N852">
        <v>5</v>
      </c>
      <c r="O852">
        <v>421.05</v>
      </c>
    </row>
    <row r="853" spans="1:15" x14ac:dyDescent="0.3">
      <c r="A853" t="s">
        <v>1288</v>
      </c>
      <c r="B853" t="s">
        <v>552</v>
      </c>
      <c r="C853" t="s">
        <v>681</v>
      </c>
      <c r="D853" t="s">
        <v>39</v>
      </c>
      <c r="E853" t="s">
        <v>89</v>
      </c>
      <c r="F853" t="s">
        <v>20</v>
      </c>
      <c r="G853" t="s">
        <v>49</v>
      </c>
      <c r="H853" t="s">
        <v>22</v>
      </c>
      <c r="I853" t="s">
        <v>23</v>
      </c>
      <c r="J853" t="s">
        <v>24</v>
      </c>
      <c r="K853" t="s">
        <v>81</v>
      </c>
      <c r="L853">
        <v>5</v>
      </c>
      <c r="M853">
        <v>4050</v>
      </c>
      <c r="N853">
        <v>10</v>
      </c>
      <c r="O853">
        <v>823.65</v>
      </c>
    </row>
    <row r="854" spans="1:15" x14ac:dyDescent="0.3">
      <c r="A854" t="s">
        <v>1289</v>
      </c>
      <c r="B854" t="s">
        <v>274</v>
      </c>
      <c r="C854" t="s">
        <v>433</v>
      </c>
      <c r="D854" t="s">
        <v>39</v>
      </c>
      <c r="E854" t="s">
        <v>56</v>
      </c>
      <c r="F854" t="s">
        <v>57</v>
      </c>
      <c r="G854" t="s">
        <v>58</v>
      </c>
      <c r="H854" t="s">
        <v>33</v>
      </c>
      <c r="I854" t="s">
        <v>68</v>
      </c>
      <c r="J854" t="s">
        <v>133</v>
      </c>
      <c r="K854" t="s">
        <v>81</v>
      </c>
      <c r="L854">
        <v>5</v>
      </c>
      <c r="M854">
        <v>1662.5</v>
      </c>
      <c r="N854">
        <v>5</v>
      </c>
      <c r="O854">
        <v>150.44999999999999</v>
      </c>
    </row>
    <row r="855" spans="1:15" x14ac:dyDescent="0.3">
      <c r="A855" t="s">
        <v>1290</v>
      </c>
      <c r="B855" t="s">
        <v>469</v>
      </c>
      <c r="C855" t="s">
        <v>718</v>
      </c>
      <c r="D855" t="s">
        <v>102</v>
      </c>
      <c r="E855" t="s">
        <v>89</v>
      </c>
      <c r="F855" t="s">
        <v>20</v>
      </c>
      <c r="G855" t="s">
        <v>49</v>
      </c>
      <c r="H855" t="s">
        <v>22</v>
      </c>
      <c r="I855" t="s">
        <v>23</v>
      </c>
      <c r="J855" t="s">
        <v>24</v>
      </c>
      <c r="K855" t="s">
        <v>81</v>
      </c>
      <c r="L855">
        <v>4</v>
      </c>
      <c r="M855">
        <v>3600</v>
      </c>
      <c r="N855">
        <v>0</v>
      </c>
      <c r="O855">
        <v>339.46</v>
      </c>
    </row>
    <row r="856" spans="1:15" x14ac:dyDescent="0.3">
      <c r="A856" t="s">
        <v>1291</v>
      </c>
      <c r="B856" t="s">
        <v>521</v>
      </c>
      <c r="C856" t="s">
        <v>88</v>
      </c>
      <c r="D856" t="s">
        <v>102</v>
      </c>
      <c r="E856" t="s">
        <v>48</v>
      </c>
      <c r="F856" t="s">
        <v>20</v>
      </c>
      <c r="G856" t="s">
        <v>49</v>
      </c>
      <c r="H856" t="s">
        <v>22</v>
      </c>
      <c r="I856" t="s">
        <v>23</v>
      </c>
      <c r="J856" t="s">
        <v>24</v>
      </c>
      <c r="K856" t="s">
        <v>81</v>
      </c>
      <c r="L856">
        <v>3</v>
      </c>
      <c r="M856">
        <v>3825</v>
      </c>
      <c r="N856">
        <v>15</v>
      </c>
      <c r="O856">
        <v>646.39</v>
      </c>
    </row>
    <row r="857" spans="1:15" x14ac:dyDescent="0.3">
      <c r="A857" t="s">
        <v>1292</v>
      </c>
      <c r="B857" t="s">
        <v>605</v>
      </c>
      <c r="C857" t="s">
        <v>147</v>
      </c>
      <c r="D857" t="s">
        <v>29</v>
      </c>
      <c r="E857" t="s">
        <v>48</v>
      </c>
      <c r="F857" t="s">
        <v>20</v>
      </c>
      <c r="G857" t="s">
        <v>49</v>
      </c>
      <c r="H857" t="s">
        <v>33</v>
      </c>
      <c r="I857" t="s">
        <v>68</v>
      </c>
      <c r="J857" t="s">
        <v>69</v>
      </c>
      <c r="K857" t="s">
        <v>81</v>
      </c>
      <c r="L857">
        <v>1</v>
      </c>
      <c r="M857">
        <v>1275</v>
      </c>
      <c r="N857">
        <v>15</v>
      </c>
      <c r="O857">
        <v>134.51</v>
      </c>
    </row>
    <row r="858" spans="1:15" x14ac:dyDescent="0.3">
      <c r="A858" t="s">
        <v>1293</v>
      </c>
      <c r="B858" t="s">
        <v>201</v>
      </c>
      <c r="C858" t="s">
        <v>96</v>
      </c>
      <c r="D858" t="s">
        <v>85</v>
      </c>
      <c r="E858" t="s">
        <v>19</v>
      </c>
      <c r="F858" t="s">
        <v>20</v>
      </c>
      <c r="G858" t="s">
        <v>21</v>
      </c>
      <c r="H858" t="s">
        <v>40</v>
      </c>
      <c r="I858" t="s">
        <v>50</v>
      </c>
      <c r="J858" t="s">
        <v>51</v>
      </c>
      <c r="K858" t="s">
        <v>43</v>
      </c>
      <c r="L858">
        <v>5</v>
      </c>
      <c r="M858">
        <v>247500</v>
      </c>
      <c r="N858">
        <v>10</v>
      </c>
      <c r="O858">
        <v>44493.7</v>
      </c>
    </row>
    <row r="859" spans="1:15" x14ac:dyDescent="0.3">
      <c r="A859" t="s">
        <v>1294</v>
      </c>
      <c r="B859" t="s">
        <v>161</v>
      </c>
      <c r="C859" t="s">
        <v>162</v>
      </c>
      <c r="D859" t="s">
        <v>29</v>
      </c>
      <c r="E859" t="s">
        <v>119</v>
      </c>
      <c r="F859" t="s">
        <v>31</v>
      </c>
      <c r="G859" t="s">
        <v>120</v>
      </c>
      <c r="H859" t="s">
        <v>22</v>
      </c>
      <c r="I859" t="s">
        <v>155</v>
      </c>
      <c r="J859" t="s">
        <v>156</v>
      </c>
      <c r="K859" t="s">
        <v>81</v>
      </c>
      <c r="L859">
        <v>5</v>
      </c>
      <c r="M859">
        <v>38250</v>
      </c>
      <c r="N859">
        <v>10</v>
      </c>
      <c r="O859">
        <v>7227.03</v>
      </c>
    </row>
    <row r="860" spans="1:15" x14ac:dyDescent="0.3">
      <c r="A860" t="s">
        <v>1295</v>
      </c>
      <c r="B860" t="s">
        <v>701</v>
      </c>
      <c r="C860" t="s">
        <v>1156</v>
      </c>
      <c r="D860" t="s">
        <v>98</v>
      </c>
      <c r="E860" t="s">
        <v>30</v>
      </c>
      <c r="F860" t="s">
        <v>31</v>
      </c>
      <c r="G860" t="s">
        <v>32</v>
      </c>
      <c r="H860" t="s">
        <v>59</v>
      </c>
      <c r="I860" t="s">
        <v>93</v>
      </c>
      <c r="J860" t="s">
        <v>94</v>
      </c>
      <c r="K860" t="s">
        <v>81</v>
      </c>
      <c r="L860">
        <v>5</v>
      </c>
      <c r="M860">
        <v>27625</v>
      </c>
      <c r="N860">
        <v>15</v>
      </c>
      <c r="O860">
        <v>3278.06</v>
      </c>
    </row>
    <row r="861" spans="1:15" x14ac:dyDescent="0.3">
      <c r="A861" t="s">
        <v>1296</v>
      </c>
      <c r="B861" t="s">
        <v>878</v>
      </c>
      <c r="C861" t="s">
        <v>200</v>
      </c>
      <c r="D861" t="s">
        <v>98</v>
      </c>
      <c r="E861" t="s">
        <v>106</v>
      </c>
      <c r="F861" t="s">
        <v>20</v>
      </c>
      <c r="G861" t="s">
        <v>49</v>
      </c>
      <c r="H861" t="s">
        <v>40</v>
      </c>
      <c r="I861" t="s">
        <v>41</v>
      </c>
      <c r="J861" t="s">
        <v>42</v>
      </c>
      <c r="K861" t="s">
        <v>62</v>
      </c>
      <c r="L861">
        <v>5</v>
      </c>
      <c r="M861">
        <v>11000</v>
      </c>
      <c r="N861">
        <v>0</v>
      </c>
      <c r="O861">
        <v>1388.18</v>
      </c>
    </row>
    <row r="862" spans="1:15" x14ac:dyDescent="0.3">
      <c r="A862" t="s">
        <v>1297</v>
      </c>
      <c r="B862" t="s">
        <v>575</v>
      </c>
      <c r="C862" t="s">
        <v>104</v>
      </c>
      <c r="D862" t="s">
        <v>102</v>
      </c>
      <c r="E862" t="s">
        <v>130</v>
      </c>
      <c r="F862" t="s">
        <v>131</v>
      </c>
      <c r="G862" t="s">
        <v>132</v>
      </c>
      <c r="H862" t="s">
        <v>59</v>
      </c>
      <c r="I862" t="s">
        <v>93</v>
      </c>
      <c r="J862" t="s">
        <v>94</v>
      </c>
      <c r="K862" t="s">
        <v>62</v>
      </c>
      <c r="L862">
        <v>3</v>
      </c>
      <c r="M862">
        <v>1147.5</v>
      </c>
      <c r="N862">
        <v>15</v>
      </c>
      <c r="O862">
        <v>210.94</v>
      </c>
    </row>
    <row r="863" spans="1:15" x14ac:dyDescent="0.3">
      <c r="A863" t="s">
        <v>1298</v>
      </c>
      <c r="B863" t="s">
        <v>150</v>
      </c>
      <c r="C863" t="s">
        <v>428</v>
      </c>
      <c r="D863" t="s">
        <v>55</v>
      </c>
      <c r="E863" t="s">
        <v>66</v>
      </c>
      <c r="F863" t="s">
        <v>20</v>
      </c>
      <c r="G863" t="s">
        <v>67</v>
      </c>
      <c r="H863" t="s">
        <v>59</v>
      </c>
      <c r="I863" t="s">
        <v>93</v>
      </c>
      <c r="J863" t="s">
        <v>94</v>
      </c>
      <c r="K863" t="s">
        <v>62</v>
      </c>
      <c r="L863">
        <v>1</v>
      </c>
      <c r="M863">
        <v>12000</v>
      </c>
      <c r="N863">
        <v>0</v>
      </c>
      <c r="O863">
        <v>2174.71</v>
      </c>
    </row>
    <row r="864" spans="1:15" x14ac:dyDescent="0.3">
      <c r="A864" t="s">
        <v>1299</v>
      </c>
      <c r="B864" t="s">
        <v>101</v>
      </c>
      <c r="C864" t="s">
        <v>447</v>
      </c>
      <c r="D864" t="s">
        <v>55</v>
      </c>
      <c r="E864" t="s">
        <v>119</v>
      </c>
      <c r="F864" t="s">
        <v>31</v>
      </c>
      <c r="G864" t="s">
        <v>120</v>
      </c>
      <c r="H864" t="s">
        <v>40</v>
      </c>
      <c r="I864" t="s">
        <v>50</v>
      </c>
      <c r="J864" t="s">
        <v>51</v>
      </c>
      <c r="K864" t="s">
        <v>62</v>
      </c>
      <c r="L864">
        <v>5</v>
      </c>
      <c r="M864">
        <v>42500</v>
      </c>
      <c r="N864">
        <v>0</v>
      </c>
      <c r="O864">
        <v>5554.51</v>
      </c>
    </row>
    <row r="865" spans="1:15" x14ac:dyDescent="0.3">
      <c r="A865" t="s">
        <v>1300</v>
      </c>
      <c r="B865" t="s">
        <v>260</v>
      </c>
      <c r="C865" t="s">
        <v>135</v>
      </c>
      <c r="D865" t="s">
        <v>18</v>
      </c>
      <c r="E865" t="s">
        <v>106</v>
      </c>
      <c r="F865" t="s">
        <v>20</v>
      </c>
      <c r="G865" t="s">
        <v>49</v>
      </c>
      <c r="H865" t="s">
        <v>33</v>
      </c>
      <c r="I865" t="s">
        <v>68</v>
      </c>
      <c r="J865" t="s">
        <v>69</v>
      </c>
      <c r="K865" t="s">
        <v>62</v>
      </c>
      <c r="L865">
        <v>3</v>
      </c>
      <c r="M865">
        <v>5280</v>
      </c>
      <c r="N865">
        <v>20</v>
      </c>
      <c r="O865">
        <v>637.72</v>
      </c>
    </row>
    <row r="866" spans="1:15" x14ac:dyDescent="0.3">
      <c r="A866" t="s">
        <v>1301</v>
      </c>
      <c r="B866" t="s">
        <v>687</v>
      </c>
      <c r="C866" t="s">
        <v>243</v>
      </c>
      <c r="D866" t="s">
        <v>85</v>
      </c>
      <c r="E866" t="s">
        <v>48</v>
      </c>
      <c r="F866" t="s">
        <v>20</v>
      </c>
      <c r="G866" t="s">
        <v>49</v>
      </c>
      <c r="H866" t="s">
        <v>40</v>
      </c>
      <c r="I866" t="s">
        <v>50</v>
      </c>
      <c r="J866" t="s">
        <v>51</v>
      </c>
      <c r="K866" t="s">
        <v>43</v>
      </c>
      <c r="L866">
        <v>2</v>
      </c>
      <c r="M866">
        <v>3000</v>
      </c>
      <c r="N866">
        <v>0</v>
      </c>
      <c r="O866">
        <v>573.86</v>
      </c>
    </row>
    <row r="867" spans="1:15" x14ac:dyDescent="0.3">
      <c r="A867" t="s">
        <v>1302</v>
      </c>
      <c r="B867" t="s">
        <v>165</v>
      </c>
      <c r="C867" t="s">
        <v>150</v>
      </c>
      <c r="D867" t="s">
        <v>29</v>
      </c>
      <c r="E867" t="s">
        <v>66</v>
      </c>
      <c r="F867" t="s">
        <v>20</v>
      </c>
      <c r="G867" t="s">
        <v>67</v>
      </c>
      <c r="H867" t="s">
        <v>33</v>
      </c>
      <c r="I867" t="s">
        <v>34</v>
      </c>
      <c r="J867" t="s">
        <v>35</v>
      </c>
      <c r="K867" t="s">
        <v>62</v>
      </c>
      <c r="L867">
        <v>1</v>
      </c>
      <c r="M867">
        <v>10200</v>
      </c>
      <c r="N867">
        <v>15</v>
      </c>
      <c r="O867">
        <v>2087.58</v>
      </c>
    </row>
    <row r="868" spans="1:15" x14ac:dyDescent="0.3">
      <c r="A868" t="s">
        <v>1303</v>
      </c>
      <c r="B868" t="s">
        <v>341</v>
      </c>
      <c r="C868" t="s">
        <v>706</v>
      </c>
      <c r="D868" t="s">
        <v>73</v>
      </c>
      <c r="E868" t="s">
        <v>56</v>
      </c>
      <c r="F868" t="s">
        <v>57</v>
      </c>
      <c r="G868" t="s">
        <v>58</v>
      </c>
      <c r="H868" t="s">
        <v>40</v>
      </c>
      <c r="I868" t="s">
        <v>41</v>
      </c>
      <c r="J868" t="s">
        <v>42</v>
      </c>
      <c r="K868" t="s">
        <v>25</v>
      </c>
      <c r="L868">
        <v>5</v>
      </c>
      <c r="M868">
        <v>1400</v>
      </c>
      <c r="N868">
        <v>20</v>
      </c>
      <c r="O868">
        <v>118.82</v>
      </c>
    </row>
    <row r="869" spans="1:15" x14ac:dyDescent="0.3">
      <c r="A869" t="s">
        <v>1304</v>
      </c>
      <c r="B869" t="s">
        <v>445</v>
      </c>
      <c r="C869" t="s">
        <v>38</v>
      </c>
      <c r="D869" t="s">
        <v>47</v>
      </c>
      <c r="E869" t="s">
        <v>56</v>
      </c>
      <c r="F869" t="s">
        <v>57</v>
      </c>
      <c r="G869" t="s">
        <v>58</v>
      </c>
      <c r="H869" t="s">
        <v>33</v>
      </c>
      <c r="I869" t="s">
        <v>68</v>
      </c>
      <c r="J869" t="s">
        <v>133</v>
      </c>
      <c r="K869" t="s">
        <v>25</v>
      </c>
      <c r="L869">
        <v>3</v>
      </c>
      <c r="M869">
        <v>892.5</v>
      </c>
      <c r="N869">
        <v>15</v>
      </c>
      <c r="O869">
        <v>115.57</v>
      </c>
    </row>
    <row r="870" spans="1:15" x14ac:dyDescent="0.3">
      <c r="A870" t="s">
        <v>1305</v>
      </c>
      <c r="B870" t="s">
        <v>769</v>
      </c>
      <c r="C870" t="s">
        <v>788</v>
      </c>
      <c r="D870" t="s">
        <v>85</v>
      </c>
      <c r="E870" t="s">
        <v>89</v>
      </c>
      <c r="F870" t="s">
        <v>20</v>
      </c>
      <c r="G870" t="s">
        <v>49</v>
      </c>
      <c r="H870" t="s">
        <v>33</v>
      </c>
      <c r="I870" t="s">
        <v>34</v>
      </c>
      <c r="J870" t="s">
        <v>35</v>
      </c>
      <c r="K870" t="s">
        <v>43</v>
      </c>
      <c r="L870">
        <v>4</v>
      </c>
      <c r="M870">
        <v>3600</v>
      </c>
      <c r="N870">
        <v>0</v>
      </c>
      <c r="O870">
        <v>455.99</v>
      </c>
    </row>
    <row r="871" spans="1:15" x14ac:dyDescent="0.3">
      <c r="A871" t="s">
        <v>1306</v>
      </c>
      <c r="B871" t="s">
        <v>281</v>
      </c>
      <c r="C871" t="s">
        <v>1307</v>
      </c>
      <c r="D871" t="s">
        <v>47</v>
      </c>
      <c r="E871" t="s">
        <v>106</v>
      </c>
      <c r="F871" t="s">
        <v>20</v>
      </c>
      <c r="G871" t="s">
        <v>49</v>
      </c>
      <c r="H871" t="s">
        <v>59</v>
      </c>
      <c r="I871" t="s">
        <v>93</v>
      </c>
      <c r="J871" t="s">
        <v>94</v>
      </c>
      <c r="K871" t="s">
        <v>62</v>
      </c>
      <c r="L871">
        <v>5</v>
      </c>
      <c r="M871">
        <v>10450</v>
      </c>
      <c r="N871">
        <v>5</v>
      </c>
      <c r="O871">
        <v>1194.3399999999999</v>
      </c>
    </row>
    <row r="872" spans="1:15" x14ac:dyDescent="0.3">
      <c r="A872" t="s">
        <v>1308</v>
      </c>
      <c r="B872" t="s">
        <v>117</v>
      </c>
      <c r="C872" t="s">
        <v>223</v>
      </c>
      <c r="D872" t="s">
        <v>29</v>
      </c>
      <c r="E872" t="s">
        <v>113</v>
      </c>
      <c r="F872" t="s">
        <v>114</v>
      </c>
      <c r="G872" t="s">
        <v>115</v>
      </c>
      <c r="H872" t="s">
        <v>22</v>
      </c>
      <c r="I872" t="s">
        <v>155</v>
      </c>
      <c r="J872" t="s">
        <v>156</v>
      </c>
      <c r="K872" t="s">
        <v>25</v>
      </c>
      <c r="L872">
        <v>1</v>
      </c>
      <c r="M872">
        <v>1620</v>
      </c>
      <c r="N872">
        <v>10</v>
      </c>
      <c r="O872">
        <v>188.46</v>
      </c>
    </row>
    <row r="873" spans="1:15" x14ac:dyDescent="0.3">
      <c r="A873" t="s">
        <v>1309</v>
      </c>
      <c r="B873" t="s">
        <v>1125</v>
      </c>
      <c r="C873" t="s">
        <v>409</v>
      </c>
      <c r="D873" t="s">
        <v>18</v>
      </c>
      <c r="E873" t="s">
        <v>30</v>
      </c>
      <c r="F873" t="s">
        <v>31</v>
      </c>
      <c r="G873" t="s">
        <v>32</v>
      </c>
      <c r="H873" t="s">
        <v>22</v>
      </c>
      <c r="I873" t="s">
        <v>155</v>
      </c>
      <c r="J873" t="s">
        <v>156</v>
      </c>
      <c r="K873" t="s">
        <v>81</v>
      </c>
      <c r="L873">
        <v>3</v>
      </c>
      <c r="M873">
        <v>18525</v>
      </c>
      <c r="N873">
        <v>5</v>
      </c>
      <c r="O873">
        <v>2005</v>
      </c>
    </row>
    <row r="874" spans="1:15" x14ac:dyDescent="0.3">
      <c r="A874" t="s">
        <v>1310</v>
      </c>
      <c r="B874" t="s">
        <v>734</v>
      </c>
      <c r="C874" t="s">
        <v>171</v>
      </c>
      <c r="D874" t="s">
        <v>18</v>
      </c>
      <c r="E874" t="s">
        <v>89</v>
      </c>
      <c r="F874" t="s">
        <v>20</v>
      </c>
      <c r="G874" t="s">
        <v>49</v>
      </c>
      <c r="H874" t="s">
        <v>40</v>
      </c>
      <c r="I874" t="s">
        <v>50</v>
      </c>
      <c r="J874" t="s">
        <v>51</v>
      </c>
      <c r="K874" t="s">
        <v>62</v>
      </c>
      <c r="L874">
        <v>1</v>
      </c>
      <c r="M874">
        <v>900</v>
      </c>
      <c r="N874">
        <v>0</v>
      </c>
      <c r="O874">
        <v>174.34</v>
      </c>
    </row>
    <row r="875" spans="1:15" x14ac:dyDescent="0.3">
      <c r="A875" t="s">
        <v>1311</v>
      </c>
      <c r="B875" t="s">
        <v>262</v>
      </c>
      <c r="C875" t="s">
        <v>343</v>
      </c>
      <c r="D875" t="s">
        <v>98</v>
      </c>
      <c r="E875" t="s">
        <v>56</v>
      </c>
      <c r="F875" t="s">
        <v>57</v>
      </c>
      <c r="G875" t="s">
        <v>58</v>
      </c>
      <c r="H875" t="s">
        <v>22</v>
      </c>
      <c r="I875" t="s">
        <v>23</v>
      </c>
      <c r="J875" t="s">
        <v>24</v>
      </c>
      <c r="K875" t="s">
        <v>62</v>
      </c>
      <c r="L875">
        <v>5</v>
      </c>
      <c r="M875">
        <v>1662.5</v>
      </c>
      <c r="N875">
        <v>5</v>
      </c>
      <c r="O875">
        <v>181.33</v>
      </c>
    </row>
    <row r="876" spans="1:15" x14ac:dyDescent="0.3">
      <c r="A876" t="s">
        <v>1312</v>
      </c>
      <c r="B876" t="s">
        <v>577</v>
      </c>
      <c r="C876" t="s">
        <v>439</v>
      </c>
      <c r="D876" t="s">
        <v>80</v>
      </c>
      <c r="E876" t="s">
        <v>89</v>
      </c>
      <c r="F876" t="s">
        <v>20</v>
      </c>
      <c r="G876" t="s">
        <v>49</v>
      </c>
      <c r="H876" t="s">
        <v>33</v>
      </c>
      <c r="I876" t="s">
        <v>34</v>
      </c>
      <c r="J876" t="s">
        <v>35</v>
      </c>
      <c r="K876" t="s">
        <v>62</v>
      </c>
      <c r="L876">
        <v>1</v>
      </c>
      <c r="M876">
        <v>810</v>
      </c>
      <c r="N876">
        <v>10</v>
      </c>
      <c r="O876">
        <v>131.71</v>
      </c>
    </row>
    <row r="877" spans="1:15" x14ac:dyDescent="0.3">
      <c r="A877" t="s">
        <v>1313</v>
      </c>
      <c r="B877" t="s">
        <v>812</v>
      </c>
      <c r="C877" t="s">
        <v>546</v>
      </c>
      <c r="D877" t="s">
        <v>18</v>
      </c>
      <c r="E877" t="s">
        <v>130</v>
      </c>
      <c r="F877" t="s">
        <v>131</v>
      </c>
      <c r="G877" t="s">
        <v>132</v>
      </c>
      <c r="H877" t="s">
        <v>59</v>
      </c>
      <c r="I877" t="s">
        <v>60</v>
      </c>
      <c r="J877" t="s">
        <v>61</v>
      </c>
      <c r="K877" t="s">
        <v>25</v>
      </c>
      <c r="L877">
        <v>2</v>
      </c>
      <c r="M877">
        <v>720</v>
      </c>
      <c r="N877">
        <v>20</v>
      </c>
      <c r="O877">
        <v>81.069999999999993</v>
      </c>
    </row>
    <row r="878" spans="1:15" x14ac:dyDescent="0.3">
      <c r="A878" t="s">
        <v>1314</v>
      </c>
      <c r="B878" t="s">
        <v>835</v>
      </c>
      <c r="C878" t="s">
        <v>108</v>
      </c>
      <c r="D878" t="s">
        <v>29</v>
      </c>
      <c r="E878" t="s">
        <v>30</v>
      </c>
      <c r="F878" t="s">
        <v>31</v>
      </c>
      <c r="G878" t="s">
        <v>32</v>
      </c>
      <c r="H878" t="s">
        <v>33</v>
      </c>
      <c r="I878" t="s">
        <v>68</v>
      </c>
      <c r="J878" t="s">
        <v>133</v>
      </c>
      <c r="K878" t="s">
        <v>25</v>
      </c>
      <c r="L878">
        <v>4</v>
      </c>
      <c r="M878">
        <v>24700</v>
      </c>
      <c r="N878">
        <v>5</v>
      </c>
      <c r="O878">
        <v>2493.39</v>
      </c>
    </row>
    <row r="879" spans="1:15" x14ac:dyDescent="0.3">
      <c r="A879" t="s">
        <v>1315</v>
      </c>
      <c r="B879" t="s">
        <v>378</v>
      </c>
      <c r="C879" t="s">
        <v>231</v>
      </c>
      <c r="D879" t="s">
        <v>85</v>
      </c>
      <c r="E879" t="s">
        <v>106</v>
      </c>
      <c r="F879" t="s">
        <v>20</v>
      </c>
      <c r="G879" t="s">
        <v>49</v>
      </c>
      <c r="H879" t="s">
        <v>59</v>
      </c>
      <c r="I879" t="s">
        <v>60</v>
      </c>
      <c r="J879" t="s">
        <v>61</v>
      </c>
      <c r="K879" t="s">
        <v>43</v>
      </c>
      <c r="L879">
        <v>2</v>
      </c>
      <c r="M879">
        <v>3960</v>
      </c>
      <c r="N879">
        <v>10</v>
      </c>
      <c r="O879">
        <v>565.24</v>
      </c>
    </row>
    <row r="880" spans="1:15" x14ac:dyDescent="0.3">
      <c r="A880" t="s">
        <v>1316</v>
      </c>
      <c r="B880" t="s">
        <v>385</v>
      </c>
      <c r="C880" t="s">
        <v>200</v>
      </c>
      <c r="D880" t="s">
        <v>102</v>
      </c>
      <c r="E880" t="s">
        <v>19</v>
      </c>
      <c r="F880" t="s">
        <v>20</v>
      </c>
      <c r="G880" t="s">
        <v>21</v>
      </c>
      <c r="H880" t="s">
        <v>22</v>
      </c>
      <c r="I880" t="s">
        <v>155</v>
      </c>
      <c r="J880" t="s">
        <v>156</v>
      </c>
      <c r="K880" t="s">
        <v>43</v>
      </c>
      <c r="L880">
        <v>2</v>
      </c>
      <c r="M880">
        <v>93500</v>
      </c>
      <c r="N880">
        <v>15</v>
      </c>
      <c r="O880">
        <v>7696.67</v>
      </c>
    </row>
    <row r="881" spans="1:15" x14ac:dyDescent="0.3">
      <c r="A881" t="s">
        <v>1317</v>
      </c>
      <c r="B881" t="s">
        <v>177</v>
      </c>
      <c r="C881" t="s">
        <v>326</v>
      </c>
      <c r="D881" t="s">
        <v>47</v>
      </c>
      <c r="E881" t="s">
        <v>30</v>
      </c>
      <c r="F881" t="s">
        <v>31</v>
      </c>
      <c r="G881" t="s">
        <v>32</v>
      </c>
      <c r="H881" t="s">
        <v>33</v>
      </c>
      <c r="I881" t="s">
        <v>68</v>
      </c>
      <c r="J881" t="s">
        <v>133</v>
      </c>
      <c r="K881" t="s">
        <v>25</v>
      </c>
      <c r="L881">
        <v>2</v>
      </c>
      <c r="M881">
        <v>13000</v>
      </c>
      <c r="N881">
        <v>0</v>
      </c>
      <c r="O881">
        <v>2538.9499999999998</v>
      </c>
    </row>
    <row r="882" spans="1:15" x14ac:dyDescent="0.3">
      <c r="A882" t="s">
        <v>1318</v>
      </c>
      <c r="B882" t="s">
        <v>144</v>
      </c>
      <c r="C882" t="s">
        <v>557</v>
      </c>
      <c r="D882" t="s">
        <v>102</v>
      </c>
      <c r="E882" t="s">
        <v>66</v>
      </c>
      <c r="F882" t="s">
        <v>20</v>
      </c>
      <c r="G882" t="s">
        <v>67</v>
      </c>
      <c r="H882" t="s">
        <v>59</v>
      </c>
      <c r="I882" t="s">
        <v>60</v>
      </c>
      <c r="J882" t="s">
        <v>61</v>
      </c>
      <c r="K882" t="s">
        <v>81</v>
      </c>
      <c r="L882">
        <v>4</v>
      </c>
      <c r="M882">
        <v>43200</v>
      </c>
      <c r="N882">
        <v>10</v>
      </c>
      <c r="O882">
        <v>3668.33</v>
      </c>
    </row>
    <row r="883" spans="1:15" x14ac:dyDescent="0.3">
      <c r="A883" t="s">
        <v>1319</v>
      </c>
      <c r="B883" t="s">
        <v>720</v>
      </c>
      <c r="C883" t="s">
        <v>476</v>
      </c>
      <c r="D883" t="s">
        <v>29</v>
      </c>
      <c r="E883" t="s">
        <v>48</v>
      </c>
      <c r="F883" t="s">
        <v>20</v>
      </c>
      <c r="G883" t="s">
        <v>49</v>
      </c>
      <c r="H883" t="s">
        <v>22</v>
      </c>
      <c r="I883" t="s">
        <v>155</v>
      </c>
      <c r="J883" t="s">
        <v>156</v>
      </c>
      <c r="K883" t="s">
        <v>81</v>
      </c>
      <c r="L883">
        <v>1</v>
      </c>
      <c r="M883">
        <v>1200</v>
      </c>
      <c r="N883">
        <v>20</v>
      </c>
      <c r="O883">
        <v>169.33</v>
      </c>
    </row>
    <row r="884" spans="1:15" x14ac:dyDescent="0.3">
      <c r="A884" t="s">
        <v>1320</v>
      </c>
      <c r="B884" t="s">
        <v>370</v>
      </c>
      <c r="C884" t="s">
        <v>151</v>
      </c>
      <c r="D884" t="s">
        <v>47</v>
      </c>
      <c r="E884" t="s">
        <v>30</v>
      </c>
      <c r="F884" t="s">
        <v>31</v>
      </c>
      <c r="G884" t="s">
        <v>32</v>
      </c>
      <c r="H884" t="s">
        <v>59</v>
      </c>
      <c r="I884" t="s">
        <v>93</v>
      </c>
      <c r="J884" t="s">
        <v>94</v>
      </c>
      <c r="K884" t="s">
        <v>62</v>
      </c>
      <c r="L884">
        <v>1</v>
      </c>
      <c r="M884">
        <v>6175</v>
      </c>
      <c r="N884">
        <v>5</v>
      </c>
      <c r="O884">
        <v>1079.1099999999999</v>
      </c>
    </row>
    <row r="885" spans="1:15" x14ac:dyDescent="0.3">
      <c r="A885" t="s">
        <v>1321</v>
      </c>
      <c r="B885" t="s">
        <v>753</v>
      </c>
      <c r="C885" t="s">
        <v>194</v>
      </c>
      <c r="D885" t="s">
        <v>80</v>
      </c>
      <c r="E885" t="s">
        <v>130</v>
      </c>
      <c r="F885" t="s">
        <v>131</v>
      </c>
      <c r="G885" t="s">
        <v>132</v>
      </c>
      <c r="H885" t="s">
        <v>59</v>
      </c>
      <c r="I885" t="s">
        <v>60</v>
      </c>
      <c r="J885" t="s">
        <v>61</v>
      </c>
      <c r="K885" t="s">
        <v>62</v>
      </c>
      <c r="L885">
        <v>5</v>
      </c>
      <c r="M885">
        <v>2137.5</v>
      </c>
      <c r="N885">
        <v>5</v>
      </c>
      <c r="O885">
        <v>200.77</v>
      </c>
    </row>
    <row r="886" spans="1:15" x14ac:dyDescent="0.3">
      <c r="A886" t="s">
        <v>1322</v>
      </c>
      <c r="B886" t="s">
        <v>229</v>
      </c>
      <c r="C886" t="s">
        <v>256</v>
      </c>
      <c r="D886" t="s">
        <v>73</v>
      </c>
      <c r="E886" t="s">
        <v>119</v>
      </c>
      <c r="F886" t="s">
        <v>31</v>
      </c>
      <c r="G886" t="s">
        <v>120</v>
      </c>
      <c r="H886" t="s">
        <v>22</v>
      </c>
      <c r="I886" t="s">
        <v>155</v>
      </c>
      <c r="J886" t="s">
        <v>156</v>
      </c>
      <c r="K886" t="s">
        <v>81</v>
      </c>
      <c r="L886">
        <v>1</v>
      </c>
      <c r="M886">
        <v>8075</v>
      </c>
      <c r="N886">
        <v>5</v>
      </c>
      <c r="O886">
        <v>1149.31</v>
      </c>
    </row>
    <row r="887" spans="1:15" x14ac:dyDescent="0.3">
      <c r="A887" t="s">
        <v>1323</v>
      </c>
      <c r="B887" t="s">
        <v>881</v>
      </c>
      <c r="C887" t="s">
        <v>141</v>
      </c>
      <c r="D887" t="s">
        <v>55</v>
      </c>
      <c r="E887" t="s">
        <v>106</v>
      </c>
      <c r="F887" t="s">
        <v>20</v>
      </c>
      <c r="G887" t="s">
        <v>49</v>
      </c>
      <c r="H887" t="s">
        <v>59</v>
      </c>
      <c r="I887" t="s">
        <v>93</v>
      </c>
      <c r="J887" t="s">
        <v>94</v>
      </c>
      <c r="K887" t="s">
        <v>62</v>
      </c>
      <c r="L887">
        <v>2</v>
      </c>
      <c r="M887">
        <v>4400</v>
      </c>
      <c r="N887">
        <v>0</v>
      </c>
      <c r="O887">
        <v>678.89</v>
      </c>
    </row>
    <row r="888" spans="1:15" x14ac:dyDescent="0.3">
      <c r="A888" t="s">
        <v>1324</v>
      </c>
      <c r="B888" t="s">
        <v>455</v>
      </c>
      <c r="C888" t="s">
        <v>399</v>
      </c>
      <c r="D888" t="s">
        <v>98</v>
      </c>
      <c r="E888" t="s">
        <v>119</v>
      </c>
      <c r="F888" t="s">
        <v>31</v>
      </c>
      <c r="G888" t="s">
        <v>120</v>
      </c>
      <c r="H888" t="s">
        <v>22</v>
      </c>
      <c r="I888" t="s">
        <v>155</v>
      </c>
      <c r="J888" t="s">
        <v>156</v>
      </c>
      <c r="K888" t="s">
        <v>62</v>
      </c>
      <c r="L888">
        <v>4</v>
      </c>
      <c r="M888">
        <v>34000</v>
      </c>
      <c r="N888">
        <v>0</v>
      </c>
      <c r="O888">
        <v>7298.53</v>
      </c>
    </row>
    <row r="889" spans="1:15" x14ac:dyDescent="0.3">
      <c r="A889" t="s">
        <v>1325</v>
      </c>
      <c r="B889" t="s">
        <v>505</v>
      </c>
      <c r="C889" t="s">
        <v>125</v>
      </c>
      <c r="D889" t="s">
        <v>47</v>
      </c>
      <c r="E889" t="s">
        <v>89</v>
      </c>
      <c r="F889" t="s">
        <v>20</v>
      </c>
      <c r="G889" t="s">
        <v>49</v>
      </c>
      <c r="H889" t="s">
        <v>59</v>
      </c>
      <c r="I889" t="s">
        <v>93</v>
      </c>
      <c r="J889" t="s">
        <v>94</v>
      </c>
      <c r="K889" t="s">
        <v>43</v>
      </c>
      <c r="L889">
        <v>3</v>
      </c>
      <c r="M889">
        <v>2700</v>
      </c>
      <c r="N889">
        <v>0</v>
      </c>
      <c r="O889">
        <v>550.41999999999996</v>
      </c>
    </row>
    <row r="890" spans="1:15" x14ac:dyDescent="0.3">
      <c r="A890" t="s">
        <v>1326</v>
      </c>
      <c r="B890" t="s">
        <v>277</v>
      </c>
      <c r="C890" t="s">
        <v>177</v>
      </c>
      <c r="D890" t="s">
        <v>47</v>
      </c>
      <c r="E890" t="s">
        <v>119</v>
      </c>
      <c r="F890" t="s">
        <v>31</v>
      </c>
      <c r="G890" t="s">
        <v>120</v>
      </c>
      <c r="H890" t="s">
        <v>59</v>
      </c>
      <c r="I890" t="s">
        <v>93</v>
      </c>
      <c r="J890" t="s">
        <v>94</v>
      </c>
      <c r="K890" t="s">
        <v>81</v>
      </c>
      <c r="L890">
        <v>3</v>
      </c>
      <c r="M890">
        <v>22950</v>
      </c>
      <c r="N890">
        <v>10</v>
      </c>
      <c r="O890">
        <v>4674.95</v>
      </c>
    </row>
    <row r="891" spans="1:15" x14ac:dyDescent="0.3">
      <c r="A891" t="s">
        <v>1327</v>
      </c>
      <c r="B891" t="s">
        <v>215</v>
      </c>
      <c r="C891" t="s">
        <v>1328</v>
      </c>
      <c r="D891" t="s">
        <v>80</v>
      </c>
      <c r="E891" t="s">
        <v>30</v>
      </c>
      <c r="F891" t="s">
        <v>31</v>
      </c>
      <c r="G891" t="s">
        <v>32</v>
      </c>
      <c r="H891" t="s">
        <v>33</v>
      </c>
      <c r="I891" t="s">
        <v>34</v>
      </c>
      <c r="J891" t="s">
        <v>35</v>
      </c>
      <c r="K891" t="s">
        <v>81</v>
      </c>
      <c r="L891">
        <v>3</v>
      </c>
      <c r="M891">
        <v>17550</v>
      </c>
      <c r="N891">
        <v>10</v>
      </c>
      <c r="O891">
        <v>1582.28</v>
      </c>
    </row>
    <row r="892" spans="1:15" x14ac:dyDescent="0.3">
      <c r="A892" t="s">
        <v>1329</v>
      </c>
      <c r="B892" t="s">
        <v>287</v>
      </c>
      <c r="C892" t="s">
        <v>83</v>
      </c>
      <c r="D892" t="s">
        <v>47</v>
      </c>
      <c r="E892" t="s">
        <v>56</v>
      </c>
      <c r="F892" t="s">
        <v>57</v>
      </c>
      <c r="G892" t="s">
        <v>58</v>
      </c>
      <c r="H892" t="s">
        <v>33</v>
      </c>
      <c r="I892" t="s">
        <v>68</v>
      </c>
      <c r="J892" t="s">
        <v>133</v>
      </c>
      <c r="K892" t="s">
        <v>81</v>
      </c>
      <c r="L892">
        <v>3</v>
      </c>
      <c r="M892">
        <v>840</v>
      </c>
      <c r="N892">
        <v>20</v>
      </c>
      <c r="O892">
        <v>170.59</v>
      </c>
    </row>
    <row r="893" spans="1:15" x14ac:dyDescent="0.3">
      <c r="A893" t="s">
        <v>1330</v>
      </c>
      <c r="B893" t="s">
        <v>104</v>
      </c>
      <c r="C893" t="s">
        <v>249</v>
      </c>
      <c r="D893" t="s">
        <v>18</v>
      </c>
      <c r="E893" t="s">
        <v>89</v>
      </c>
      <c r="F893" t="s">
        <v>20</v>
      </c>
      <c r="G893" t="s">
        <v>49</v>
      </c>
      <c r="H893" t="s">
        <v>40</v>
      </c>
      <c r="I893" t="s">
        <v>50</v>
      </c>
      <c r="J893" t="s">
        <v>51</v>
      </c>
      <c r="K893" t="s">
        <v>43</v>
      </c>
      <c r="L893">
        <v>5</v>
      </c>
      <c r="M893">
        <v>4050</v>
      </c>
      <c r="N893">
        <v>10</v>
      </c>
      <c r="O893">
        <v>463.56</v>
      </c>
    </row>
    <row r="894" spans="1:15" x14ac:dyDescent="0.3">
      <c r="A894" t="s">
        <v>1331</v>
      </c>
      <c r="B894" t="s">
        <v>419</v>
      </c>
      <c r="C894" t="s">
        <v>761</v>
      </c>
      <c r="D894" t="s">
        <v>80</v>
      </c>
      <c r="E894" t="s">
        <v>113</v>
      </c>
      <c r="F894" t="s">
        <v>114</v>
      </c>
      <c r="G894" t="s">
        <v>115</v>
      </c>
      <c r="H894" t="s">
        <v>33</v>
      </c>
      <c r="I894" t="s">
        <v>34</v>
      </c>
      <c r="J894" t="s">
        <v>35</v>
      </c>
      <c r="K894" t="s">
        <v>81</v>
      </c>
      <c r="L894">
        <v>2</v>
      </c>
      <c r="M894">
        <v>3060</v>
      </c>
      <c r="N894">
        <v>15</v>
      </c>
      <c r="O894">
        <v>549.24</v>
      </c>
    </row>
    <row r="895" spans="1:15" x14ac:dyDescent="0.3">
      <c r="A895" t="s">
        <v>1332</v>
      </c>
      <c r="B895" t="s">
        <v>97</v>
      </c>
      <c r="C895" t="s">
        <v>580</v>
      </c>
      <c r="D895" t="s">
        <v>98</v>
      </c>
      <c r="E895" t="s">
        <v>130</v>
      </c>
      <c r="F895" t="s">
        <v>131</v>
      </c>
      <c r="G895" t="s">
        <v>132</v>
      </c>
      <c r="H895" t="s">
        <v>59</v>
      </c>
      <c r="I895" t="s">
        <v>93</v>
      </c>
      <c r="J895" t="s">
        <v>94</v>
      </c>
      <c r="K895" t="s">
        <v>25</v>
      </c>
      <c r="L895">
        <v>4</v>
      </c>
      <c r="M895">
        <v>1530</v>
      </c>
      <c r="N895">
        <v>15</v>
      </c>
      <c r="O895">
        <v>273.55</v>
      </c>
    </row>
    <row r="896" spans="1:15" x14ac:dyDescent="0.3">
      <c r="A896" t="s">
        <v>1333</v>
      </c>
      <c r="B896" t="s">
        <v>187</v>
      </c>
      <c r="C896" t="s">
        <v>1203</v>
      </c>
      <c r="D896" t="s">
        <v>85</v>
      </c>
      <c r="E896" t="s">
        <v>106</v>
      </c>
      <c r="F896" t="s">
        <v>20</v>
      </c>
      <c r="G896" t="s">
        <v>49</v>
      </c>
      <c r="H896" t="s">
        <v>40</v>
      </c>
      <c r="I896" t="s">
        <v>41</v>
      </c>
      <c r="J896" t="s">
        <v>42</v>
      </c>
      <c r="K896" t="s">
        <v>62</v>
      </c>
      <c r="L896">
        <v>2</v>
      </c>
      <c r="M896">
        <v>3960</v>
      </c>
      <c r="N896">
        <v>10</v>
      </c>
      <c r="O896">
        <v>413.1</v>
      </c>
    </row>
    <row r="897" spans="1:15" x14ac:dyDescent="0.3">
      <c r="A897" t="s">
        <v>1334</v>
      </c>
      <c r="B897" t="s">
        <v>1039</v>
      </c>
      <c r="C897" t="s">
        <v>739</v>
      </c>
      <c r="D897" t="s">
        <v>73</v>
      </c>
      <c r="E897" t="s">
        <v>113</v>
      </c>
      <c r="F897" t="s">
        <v>114</v>
      </c>
      <c r="G897" t="s">
        <v>115</v>
      </c>
      <c r="H897" t="s">
        <v>59</v>
      </c>
      <c r="I897" t="s">
        <v>60</v>
      </c>
      <c r="J897" t="s">
        <v>61</v>
      </c>
      <c r="K897" t="s">
        <v>81</v>
      </c>
      <c r="L897">
        <v>1</v>
      </c>
      <c r="M897">
        <v>1620</v>
      </c>
      <c r="N897">
        <v>10</v>
      </c>
      <c r="O897">
        <v>214.78</v>
      </c>
    </row>
    <row r="898" spans="1:15" x14ac:dyDescent="0.3">
      <c r="A898" t="s">
        <v>1335</v>
      </c>
      <c r="B898" t="s">
        <v>467</v>
      </c>
      <c r="C898" t="s">
        <v>411</v>
      </c>
      <c r="D898" t="s">
        <v>47</v>
      </c>
      <c r="E898" t="s">
        <v>119</v>
      </c>
      <c r="F898" t="s">
        <v>31</v>
      </c>
      <c r="G898" t="s">
        <v>120</v>
      </c>
      <c r="H898" t="s">
        <v>22</v>
      </c>
      <c r="I898" t="s">
        <v>23</v>
      </c>
      <c r="J898" t="s">
        <v>24</v>
      </c>
      <c r="K898" t="s">
        <v>43</v>
      </c>
      <c r="L898">
        <v>2</v>
      </c>
      <c r="M898">
        <v>13600</v>
      </c>
      <c r="N898">
        <v>20</v>
      </c>
      <c r="O898">
        <v>2882.78</v>
      </c>
    </row>
    <row r="899" spans="1:15" x14ac:dyDescent="0.3">
      <c r="A899" t="s">
        <v>1336</v>
      </c>
      <c r="B899" t="s">
        <v>493</v>
      </c>
      <c r="C899" t="s">
        <v>125</v>
      </c>
      <c r="D899" t="s">
        <v>80</v>
      </c>
      <c r="E899" t="s">
        <v>19</v>
      </c>
      <c r="F899" t="s">
        <v>20</v>
      </c>
      <c r="G899" t="s">
        <v>21</v>
      </c>
      <c r="H899" t="s">
        <v>40</v>
      </c>
      <c r="I899" t="s">
        <v>50</v>
      </c>
      <c r="J899" t="s">
        <v>51</v>
      </c>
      <c r="K899" t="s">
        <v>25</v>
      </c>
      <c r="L899">
        <v>2</v>
      </c>
      <c r="M899">
        <v>88000</v>
      </c>
      <c r="N899">
        <v>20</v>
      </c>
      <c r="O899">
        <v>14416.61</v>
      </c>
    </row>
    <row r="900" spans="1:15" x14ac:dyDescent="0.3">
      <c r="A900" t="s">
        <v>1337</v>
      </c>
      <c r="B900" t="s">
        <v>118</v>
      </c>
      <c r="C900" t="s">
        <v>1338</v>
      </c>
      <c r="D900" t="s">
        <v>29</v>
      </c>
      <c r="E900" t="s">
        <v>56</v>
      </c>
      <c r="F900" t="s">
        <v>57</v>
      </c>
      <c r="G900" t="s">
        <v>58</v>
      </c>
      <c r="H900" t="s">
        <v>40</v>
      </c>
      <c r="I900" t="s">
        <v>41</v>
      </c>
      <c r="J900" t="s">
        <v>42</v>
      </c>
      <c r="K900" t="s">
        <v>43</v>
      </c>
      <c r="L900">
        <v>1</v>
      </c>
      <c r="M900">
        <v>280</v>
      </c>
      <c r="N900">
        <v>20</v>
      </c>
      <c r="O900">
        <v>28.58</v>
      </c>
    </row>
    <row r="901" spans="1:15" x14ac:dyDescent="0.3">
      <c r="A901" t="s">
        <v>1339</v>
      </c>
      <c r="B901" t="s">
        <v>813</v>
      </c>
      <c r="C901" t="s">
        <v>546</v>
      </c>
      <c r="D901" t="s">
        <v>73</v>
      </c>
      <c r="E901" t="s">
        <v>113</v>
      </c>
      <c r="F901" t="s">
        <v>114</v>
      </c>
      <c r="G901" t="s">
        <v>115</v>
      </c>
      <c r="H901" t="s">
        <v>33</v>
      </c>
      <c r="I901" t="s">
        <v>68</v>
      </c>
      <c r="J901" t="s">
        <v>69</v>
      </c>
      <c r="K901" t="s">
        <v>62</v>
      </c>
      <c r="L901">
        <v>4</v>
      </c>
      <c r="M901">
        <v>6480</v>
      </c>
      <c r="N901">
        <v>10</v>
      </c>
      <c r="O901">
        <v>932.38</v>
      </c>
    </row>
    <row r="902" spans="1:15" x14ac:dyDescent="0.3">
      <c r="A902" t="s">
        <v>1340</v>
      </c>
      <c r="B902" t="s">
        <v>177</v>
      </c>
      <c r="C902" t="s">
        <v>239</v>
      </c>
      <c r="D902" t="s">
        <v>47</v>
      </c>
      <c r="E902" t="s">
        <v>48</v>
      </c>
      <c r="F902" t="s">
        <v>20</v>
      </c>
      <c r="G902" t="s">
        <v>49</v>
      </c>
      <c r="H902" t="s">
        <v>59</v>
      </c>
      <c r="I902" t="s">
        <v>93</v>
      </c>
      <c r="J902" t="s">
        <v>94</v>
      </c>
      <c r="K902" t="s">
        <v>81</v>
      </c>
      <c r="L902">
        <v>4</v>
      </c>
      <c r="M902">
        <v>5700</v>
      </c>
      <c r="N902">
        <v>5</v>
      </c>
      <c r="O902">
        <v>1113.19</v>
      </c>
    </row>
    <row r="903" spans="1:15" x14ac:dyDescent="0.3">
      <c r="A903" t="s">
        <v>1341</v>
      </c>
      <c r="B903" t="s">
        <v>772</v>
      </c>
      <c r="C903" t="s">
        <v>250</v>
      </c>
      <c r="D903" t="s">
        <v>29</v>
      </c>
      <c r="E903" t="s">
        <v>106</v>
      </c>
      <c r="F903" t="s">
        <v>20</v>
      </c>
      <c r="G903" t="s">
        <v>49</v>
      </c>
      <c r="H903" t="s">
        <v>40</v>
      </c>
      <c r="I903" t="s">
        <v>41</v>
      </c>
      <c r="J903" t="s">
        <v>42</v>
      </c>
      <c r="K903" t="s">
        <v>25</v>
      </c>
      <c r="L903">
        <v>4</v>
      </c>
      <c r="M903">
        <v>7920</v>
      </c>
      <c r="N903">
        <v>10</v>
      </c>
      <c r="O903">
        <v>651.75</v>
      </c>
    </row>
    <row r="904" spans="1:15" x14ac:dyDescent="0.3">
      <c r="A904" t="s">
        <v>1342</v>
      </c>
      <c r="B904" t="s">
        <v>228</v>
      </c>
      <c r="C904" t="s">
        <v>287</v>
      </c>
      <c r="D904" t="s">
        <v>98</v>
      </c>
      <c r="E904" t="s">
        <v>130</v>
      </c>
      <c r="F904" t="s">
        <v>131</v>
      </c>
      <c r="G904" t="s">
        <v>132</v>
      </c>
      <c r="H904" t="s">
        <v>59</v>
      </c>
      <c r="I904" t="s">
        <v>93</v>
      </c>
      <c r="J904" t="s">
        <v>94</v>
      </c>
      <c r="K904" t="s">
        <v>43</v>
      </c>
      <c r="L904">
        <v>1</v>
      </c>
      <c r="M904">
        <v>427.5</v>
      </c>
      <c r="N904">
        <v>5</v>
      </c>
      <c r="O904">
        <v>66.28</v>
      </c>
    </row>
    <row r="905" spans="1:15" x14ac:dyDescent="0.3">
      <c r="A905" t="s">
        <v>1343</v>
      </c>
      <c r="B905" t="s">
        <v>37</v>
      </c>
      <c r="C905" t="s">
        <v>378</v>
      </c>
      <c r="D905" t="s">
        <v>102</v>
      </c>
      <c r="E905" t="s">
        <v>30</v>
      </c>
      <c r="F905" t="s">
        <v>31</v>
      </c>
      <c r="G905" t="s">
        <v>32</v>
      </c>
      <c r="H905" t="s">
        <v>33</v>
      </c>
      <c r="I905" t="s">
        <v>68</v>
      </c>
      <c r="J905" t="s">
        <v>133</v>
      </c>
      <c r="K905" t="s">
        <v>62</v>
      </c>
      <c r="L905">
        <v>2</v>
      </c>
      <c r="M905">
        <v>10400</v>
      </c>
      <c r="N905">
        <v>20</v>
      </c>
      <c r="O905">
        <v>1597.8</v>
      </c>
    </row>
    <row r="906" spans="1:15" x14ac:dyDescent="0.3">
      <c r="A906" t="s">
        <v>1344</v>
      </c>
      <c r="B906" t="s">
        <v>753</v>
      </c>
      <c r="C906" t="s">
        <v>195</v>
      </c>
      <c r="D906" t="s">
        <v>29</v>
      </c>
      <c r="E906" t="s">
        <v>106</v>
      </c>
      <c r="F906" t="s">
        <v>20</v>
      </c>
      <c r="G906" t="s">
        <v>49</v>
      </c>
      <c r="H906" t="s">
        <v>33</v>
      </c>
      <c r="I906" t="s">
        <v>68</v>
      </c>
      <c r="J906" t="s">
        <v>69</v>
      </c>
      <c r="K906" t="s">
        <v>81</v>
      </c>
      <c r="L906">
        <v>5</v>
      </c>
      <c r="M906">
        <v>8800</v>
      </c>
      <c r="N906">
        <v>20</v>
      </c>
      <c r="O906">
        <v>1676.21</v>
      </c>
    </row>
    <row r="907" spans="1:15" x14ac:dyDescent="0.3">
      <c r="A907" t="s">
        <v>1345</v>
      </c>
      <c r="B907" t="s">
        <v>314</v>
      </c>
      <c r="C907" t="s">
        <v>92</v>
      </c>
      <c r="D907" t="s">
        <v>39</v>
      </c>
      <c r="E907" t="s">
        <v>89</v>
      </c>
      <c r="F907" t="s">
        <v>20</v>
      </c>
      <c r="G907" t="s">
        <v>49</v>
      </c>
      <c r="H907" t="s">
        <v>33</v>
      </c>
      <c r="I907" t="s">
        <v>68</v>
      </c>
      <c r="J907" t="s">
        <v>133</v>
      </c>
      <c r="K907" t="s">
        <v>62</v>
      </c>
      <c r="L907">
        <v>2</v>
      </c>
      <c r="M907">
        <v>1800</v>
      </c>
      <c r="N907">
        <v>0</v>
      </c>
      <c r="O907">
        <v>250.77</v>
      </c>
    </row>
    <row r="908" spans="1:15" x14ac:dyDescent="0.3">
      <c r="A908" t="s">
        <v>1346</v>
      </c>
      <c r="B908" t="s">
        <v>691</v>
      </c>
      <c r="C908" t="s">
        <v>260</v>
      </c>
      <c r="D908" t="s">
        <v>39</v>
      </c>
      <c r="E908" t="s">
        <v>56</v>
      </c>
      <c r="F908" t="s">
        <v>57</v>
      </c>
      <c r="G908" t="s">
        <v>58</v>
      </c>
      <c r="H908" t="s">
        <v>22</v>
      </c>
      <c r="I908" t="s">
        <v>155</v>
      </c>
      <c r="J908" t="s">
        <v>156</v>
      </c>
      <c r="K908" t="s">
        <v>25</v>
      </c>
      <c r="L908">
        <v>1</v>
      </c>
      <c r="M908">
        <v>280</v>
      </c>
      <c r="N908">
        <v>20</v>
      </c>
      <c r="O908">
        <v>27.88</v>
      </c>
    </row>
    <row r="909" spans="1:15" x14ac:dyDescent="0.3">
      <c r="A909" t="s">
        <v>1347</v>
      </c>
      <c r="B909" t="s">
        <v>511</v>
      </c>
      <c r="C909" t="s">
        <v>79</v>
      </c>
      <c r="D909" t="s">
        <v>102</v>
      </c>
      <c r="E909" t="s">
        <v>119</v>
      </c>
      <c r="F909" t="s">
        <v>31</v>
      </c>
      <c r="G909" t="s">
        <v>120</v>
      </c>
      <c r="H909" t="s">
        <v>59</v>
      </c>
      <c r="I909" t="s">
        <v>93</v>
      </c>
      <c r="J909" t="s">
        <v>94</v>
      </c>
      <c r="K909" t="s">
        <v>25</v>
      </c>
      <c r="L909">
        <v>2</v>
      </c>
      <c r="M909">
        <v>13600</v>
      </c>
      <c r="N909">
        <v>20</v>
      </c>
      <c r="O909">
        <v>1889.31</v>
      </c>
    </row>
    <row r="910" spans="1:15" x14ac:dyDescent="0.3">
      <c r="A910" t="s">
        <v>1348</v>
      </c>
      <c r="B910" t="s">
        <v>848</v>
      </c>
      <c r="C910" t="s">
        <v>505</v>
      </c>
      <c r="D910" t="s">
        <v>29</v>
      </c>
      <c r="E910" t="s">
        <v>119</v>
      </c>
      <c r="F910" t="s">
        <v>31</v>
      </c>
      <c r="G910" t="s">
        <v>120</v>
      </c>
      <c r="H910" t="s">
        <v>22</v>
      </c>
      <c r="I910" t="s">
        <v>23</v>
      </c>
      <c r="J910" t="s">
        <v>24</v>
      </c>
      <c r="K910" t="s">
        <v>81</v>
      </c>
      <c r="L910">
        <v>1</v>
      </c>
      <c r="M910">
        <v>6800</v>
      </c>
      <c r="N910">
        <v>20</v>
      </c>
      <c r="O910">
        <v>827.78</v>
      </c>
    </row>
    <row r="911" spans="1:15" x14ac:dyDescent="0.3">
      <c r="A911" t="s">
        <v>1349</v>
      </c>
      <c r="B911" t="s">
        <v>674</v>
      </c>
      <c r="C911" t="s">
        <v>454</v>
      </c>
      <c r="D911" t="s">
        <v>29</v>
      </c>
      <c r="E911" t="s">
        <v>66</v>
      </c>
      <c r="F911" t="s">
        <v>20</v>
      </c>
      <c r="G911" t="s">
        <v>67</v>
      </c>
      <c r="H911" t="s">
        <v>33</v>
      </c>
      <c r="I911" t="s">
        <v>68</v>
      </c>
      <c r="J911" t="s">
        <v>69</v>
      </c>
      <c r="K911" t="s">
        <v>43</v>
      </c>
      <c r="L911">
        <v>2</v>
      </c>
      <c r="M911">
        <v>24000</v>
      </c>
      <c r="N911">
        <v>0</v>
      </c>
      <c r="O911">
        <v>5079.5600000000004</v>
      </c>
    </row>
    <row r="912" spans="1:15" x14ac:dyDescent="0.3">
      <c r="A912" t="s">
        <v>1350</v>
      </c>
      <c r="B912" t="s">
        <v>753</v>
      </c>
      <c r="C912" t="s">
        <v>364</v>
      </c>
      <c r="D912" t="s">
        <v>80</v>
      </c>
      <c r="E912" t="s">
        <v>30</v>
      </c>
      <c r="F912" t="s">
        <v>31</v>
      </c>
      <c r="G912" t="s">
        <v>32</v>
      </c>
      <c r="H912" t="s">
        <v>59</v>
      </c>
      <c r="I912" t="s">
        <v>60</v>
      </c>
      <c r="J912" t="s">
        <v>61</v>
      </c>
      <c r="K912" t="s">
        <v>62</v>
      </c>
      <c r="L912">
        <v>3</v>
      </c>
      <c r="M912">
        <v>18525</v>
      </c>
      <c r="N912">
        <v>5</v>
      </c>
      <c r="O912">
        <v>3957.9</v>
      </c>
    </row>
    <row r="913" spans="1:15" x14ac:dyDescent="0.3">
      <c r="A913" t="s">
        <v>1351</v>
      </c>
      <c r="B913" t="s">
        <v>580</v>
      </c>
      <c r="C913" t="s">
        <v>104</v>
      </c>
      <c r="D913" t="s">
        <v>73</v>
      </c>
      <c r="E913" t="s">
        <v>19</v>
      </c>
      <c r="F913" t="s">
        <v>20</v>
      </c>
      <c r="G913" t="s">
        <v>21</v>
      </c>
      <c r="H913" t="s">
        <v>33</v>
      </c>
      <c r="I913" t="s">
        <v>68</v>
      </c>
      <c r="J913" t="s">
        <v>133</v>
      </c>
      <c r="K913" t="s">
        <v>81</v>
      </c>
      <c r="L913">
        <v>2</v>
      </c>
      <c r="M913">
        <v>104500</v>
      </c>
      <c r="N913">
        <v>5</v>
      </c>
      <c r="O913">
        <v>16401.21</v>
      </c>
    </row>
    <row r="914" spans="1:15" x14ac:dyDescent="0.3">
      <c r="A914" t="s">
        <v>1352</v>
      </c>
      <c r="B914" t="s">
        <v>111</v>
      </c>
      <c r="C914" t="s">
        <v>769</v>
      </c>
      <c r="D914" t="s">
        <v>98</v>
      </c>
      <c r="E914" t="s">
        <v>89</v>
      </c>
      <c r="F914" t="s">
        <v>20</v>
      </c>
      <c r="G914" t="s">
        <v>49</v>
      </c>
      <c r="H914" t="s">
        <v>40</v>
      </c>
      <c r="I914" t="s">
        <v>50</v>
      </c>
      <c r="J914" t="s">
        <v>51</v>
      </c>
      <c r="K914" t="s">
        <v>81</v>
      </c>
      <c r="L914">
        <v>2</v>
      </c>
      <c r="M914">
        <v>1620</v>
      </c>
      <c r="N914">
        <v>10</v>
      </c>
      <c r="O914">
        <v>260.70999999999998</v>
      </c>
    </row>
    <row r="915" spans="1:15" x14ac:dyDescent="0.3">
      <c r="A915" t="s">
        <v>1353</v>
      </c>
      <c r="B915" t="s">
        <v>508</v>
      </c>
      <c r="C915" t="s">
        <v>91</v>
      </c>
      <c r="D915" t="s">
        <v>55</v>
      </c>
      <c r="E915" t="s">
        <v>113</v>
      </c>
      <c r="F915" t="s">
        <v>114</v>
      </c>
      <c r="G915" t="s">
        <v>115</v>
      </c>
      <c r="H915" t="s">
        <v>33</v>
      </c>
      <c r="I915" t="s">
        <v>68</v>
      </c>
      <c r="J915" t="s">
        <v>69</v>
      </c>
      <c r="K915" t="s">
        <v>81</v>
      </c>
      <c r="L915">
        <v>3</v>
      </c>
      <c r="M915">
        <v>4860</v>
      </c>
      <c r="N915">
        <v>10</v>
      </c>
      <c r="O915">
        <v>757.61</v>
      </c>
    </row>
    <row r="916" spans="1:15" x14ac:dyDescent="0.3">
      <c r="A916" t="s">
        <v>1354</v>
      </c>
      <c r="B916" t="s">
        <v>265</v>
      </c>
      <c r="C916" t="s">
        <v>147</v>
      </c>
      <c r="D916" t="s">
        <v>39</v>
      </c>
      <c r="E916" t="s">
        <v>113</v>
      </c>
      <c r="F916" t="s">
        <v>114</v>
      </c>
      <c r="G916" t="s">
        <v>115</v>
      </c>
      <c r="H916" t="s">
        <v>40</v>
      </c>
      <c r="I916" t="s">
        <v>41</v>
      </c>
      <c r="J916" t="s">
        <v>42</v>
      </c>
      <c r="K916" t="s">
        <v>62</v>
      </c>
      <c r="L916">
        <v>3</v>
      </c>
      <c r="M916">
        <v>4590</v>
      </c>
      <c r="N916">
        <v>15</v>
      </c>
      <c r="O916">
        <v>479.07</v>
      </c>
    </row>
    <row r="917" spans="1:15" x14ac:dyDescent="0.3">
      <c r="A917" t="s">
        <v>1355</v>
      </c>
      <c r="B917" t="s">
        <v>600</v>
      </c>
      <c r="C917" t="s">
        <v>122</v>
      </c>
      <c r="D917" t="s">
        <v>98</v>
      </c>
      <c r="E917" t="s">
        <v>113</v>
      </c>
      <c r="F917" t="s">
        <v>114</v>
      </c>
      <c r="G917" t="s">
        <v>115</v>
      </c>
      <c r="H917" t="s">
        <v>40</v>
      </c>
      <c r="I917" t="s">
        <v>41</v>
      </c>
      <c r="J917" t="s">
        <v>42</v>
      </c>
      <c r="K917" t="s">
        <v>62</v>
      </c>
      <c r="L917">
        <v>3</v>
      </c>
      <c r="M917">
        <v>4590</v>
      </c>
      <c r="N917">
        <v>15</v>
      </c>
      <c r="O917">
        <v>733.59</v>
      </c>
    </row>
    <row r="918" spans="1:15" x14ac:dyDescent="0.3">
      <c r="A918" t="s">
        <v>1356</v>
      </c>
      <c r="B918" t="s">
        <v>258</v>
      </c>
      <c r="C918" t="s">
        <v>753</v>
      </c>
      <c r="D918" t="s">
        <v>85</v>
      </c>
      <c r="E918" t="s">
        <v>66</v>
      </c>
      <c r="F918" t="s">
        <v>20</v>
      </c>
      <c r="G918" t="s">
        <v>67</v>
      </c>
      <c r="H918" t="s">
        <v>33</v>
      </c>
      <c r="I918" t="s">
        <v>34</v>
      </c>
      <c r="J918" t="s">
        <v>35</v>
      </c>
      <c r="K918" t="s">
        <v>43</v>
      </c>
      <c r="L918">
        <v>1</v>
      </c>
      <c r="M918">
        <v>11400</v>
      </c>
      <c r="N918">
        <v>5</v>
      </c>
      <c r="O918">
        <v>2107.33</v>
      </c>
    </row>
    <row r="919" spans="1:15" x14ac:dyDescent="0.3">
      <c r="A919" t="s">
        <v>1357</v>
      </c>
      <c r="B919" t="s">
        <v>72</v>
      </c>
      <c r="C919" t="s">
        <v>653</v>
      </c>
      <c r="D919" t="s">
        <v>80</v>
      </c>
      <c r="E919" t="s">
        <v>89</v>
      </c>
      <c r="F919" t="s">
        <v>20</v>
      </c>
      <c r="G919" t="s">
        <v>49</v>
      </c>
      <c r="H919" t="s">
        <v>59</v>
      </c>
      <c r="I919" t="s">
        <v>93</v>
      </c>
      <c r="J919" t="s">
        <v>94</v>
      </c>
      <c r="K919" t="s">
        <v>62</v>
      </c>
      <c r="L919">
        <v>3</v>
      </c>
      <c r="M919">
        <v>2430</v>
      </c>
      <c r="N919">
        <v>10</v>
      </c>
      <c r="O919">
        <v>202.11</v>
      </c>
    </row>
    <row r="920" spans="1:15" x14ac:dyDescent="0.3">
      <c r="A920" t="s">
        <v>1358</v>
      </c>
      <c r="B920" t="s">
        <v>421</v>
      </c>
      <c r="C920" t="s">
        <v>461</v>
      </c>
      <c r="D920" t="s">
        <v>102</v>
      </c>
      <c r="E920" t="s">
        <v>130</v>
      </c>
      <c r="F920" t="s">
        <v>131</v>
      </c>
      <c r="G920" t="s">
        <v>132</v>
      </c>
      <c r="H920" t="s">
        <v>40</v>
      </c>
      <c r="I920" t="s">
        <v>50</v>
      </c>
      <c r="J920" t="s">
        <v>51</v>
      </c>
      <c r="K920" t="s">
        <v>25</v>
      </c>
      <c r="L920">
        <v>5</v>
      </c>
      <c r="M920">
        <v>1912.5</v>
      </c>
      <c r="N920">
        <v>15</v>
      </c>
      <c r="O920">
        <v>187.08</v>
      </c>
    </row>
    <row r="921" spans="1:15" x14ac:dyDescent="0.3">
      <c r="A921" t="s">
        <v>1359</v>
      </c>
      <c r="B921" t="s">
        <v>295</v>
      </c>
      <c r="C921" t="s">
        <v>589</v>
      </c>
      <c r="D921" t="s">
        <v>98</v>
      </c>
      <c r="E921" t="s">
        <v>19</v>
      </c>
      <c r="F921" t="s">
        <v>20</v>
      </c>
      <c r="G921" t="s">
        <v>21</v>
      </c>
      <c r="H921" t="s">
        <v>59</v>
      </c>
      <c r="I921" t="s">
        <v>93</v>
      </c>
      <c r="J921" t="s">
        <v>94</v>
      </c>
      <c r="K921" t="s">
        <v>81</v>
      </c>
      <c r="L921">
        <v>5</v>
      </c>
      <c r="M921">
        <v>220000</v>
      </c>
      <c r="N921">
        <v>20</v>
      </c>
      <c r="O921">
        <v>17945.64</v>
      </c>
    </row>
    <row r="922" spans="1:15" x14ac:dyDescent="0.3">
      <c r="A922" t="s">
        <v>1360</v>
      </c>
      <c r="B922" t="s">
        <v>220</v>
      </c>
      <c r="C922" t="s">
        <v>324</v>
      </c>
      <c r="D922" t="s">
        <v>39</v>
      </c>
      <c r="E922" t="s">
        <v>19</v>
      </c>
      <c r="F922" t="s">
        <v>20</v>
      </c>
      <c r="G922" t="s">
        <v>21</v>
      </c>
      <c r="H922" t="s">
        <v>33</v>
      </c>
      <c r="I922" t="s">
        <v>68</v>
      </c>
      <c r="J922" t="s">
        <v>133</v>
      </c>
      <c r="K922" t="s">
        <v>62</v>
      </c>
      <c r="L922">
        <v>1</v>
      </c>
      <c r="M922">
        <v>49500</v>
      </c>
      <c r="N922">
        <v>10</v>
      </c>
      <c r="O922">
        <v>6871.2</v>
      </c>
    </row>
    <row r="923" spans="1:15" x14ac:dyDescent="0.3">
      <c r="A923" t="s">
        <v>1361</v>
      </c>
      <c r="B923" t="s">
        <v>234</v>
      </c>
      <c r="C923" t="s">
        <v>177</v>
      </c>
      <c r="D923" t="s">
        <v>55</v>
      </c>
      <c r="E923" t="s">
        <v>89</v>
      </c>
      <c r="F923" t="s">
        <v>20</v>
      </c>
      <c r="G923" t="s">
        <v>49</v>
      </c>
      <c r="H923" t="s">
        <v>40</v>
      </c>
      <c r="I923" t="s">
        <v>41</v>
      </c>
      <c r="J923" t="s">
        <v>42</v>
      </c>
      <c r="K923" t="s">
        <v>62</v>
      </c>
      <c r="L923">
        <v>5</v>
      </c>
      <c r="M923">
        <v>4275</v>
      </c>
      <c r="N923">
        <v>5</v>
      </c>
      <c r="O923">
        <v>461.02</v>
      </c>
    </row>
    <row r="924" spans="1:15" x14ac:dyDescent="0.3">
      <c r="A924" t="s">
        <v>1362</v>
      </c>
      <c r="B924" t="s">
        <v>1338</v>
      </c>
      <c r="C924" t="s">
        <v>943</v>
      </c>
      <c r="D924" t="s">
        <v>39</v>
      </c>
      <c r="E924" t="s">
        <v>56</v>
      </c>
      <c r="F924" t="s">
        <v>57</v>
      </c>
      <c r="G924" t="s">
        <v>58</v>
      </c>
      <c r="H924" t="s">
        <v>40</v>
      </c>
      <c r="I924" t="s">
        <v>41</v>
      </c>
      <c r="J924" t="s">
        <v>42</v>
      </c>
      <c r="K924" t="s">
        <v>25</v>
      </c>
      <c r="L924">
        <v>5</v>
      </c>
      <c r="M924">
        <v>1750</v>
      </c>
      <c r="N924">
        <v>0</v>
      </c>
      <c r="O924">
        <v>294.74</v>
      </c>
    </row>
    <row r="925" spans="1:15" x14ac:dyDescent="0.3">
      <c r="A925" t="s">
        <v>1363</v>
      </c>
      <c r="B925" t="s">
        <v>801</v>
      </c>
      <c r="C925" t="s">
        <v>76</v>
      </c>
      <c r="D925" t="s">
        <v>80</v>
      </c>
      <c r="E925" t="s">
        <v>106</v>
      </c>
      <c r="F925" t="s">
        <v>20</v>
      </c>
      <c r="G925" t="s">
        <v>49</v>
      </c>
      <c r="H925" t="s">
        <v>40</v>
      </c>
      <c r="I925" t="s">
        <v>41</v>
      </c>
      <c r="J925" t="s">
        <v>42</v>
      </c>
      <c r="K925" t="s">
        <v>81</v>
      </c>
      <c r="L925">
        <v>1</v>
      </c>
      <c r="M925">
        <v>2200</v>
      </c>
      <c r="N925">
        <v>0</v>
      </c>
      <c r="O925">
        <v>326.13</v>
      </c>
    </row>
    <row r="926" spans="1:15" x14ac:dyDescent="0.3">
      <c r="A926" t="s">
        <v>1364</v>
      </c>
      <c r="B926" t="s">
        <v>375</v>
      </c>
      <c r="C926" t="s">
        <v>138</v>
      </c>
      <c r="D926" t="s">
        <v>47</v>
      </c>
      <c r="E926" t="s">
        <v>56</v>
      </c>
      <c r="F926" t="s">
        <v>57</v>
      </c>
      <c r="G926" t="s">
        <v>58</v>
      </c>
      <c r="H926" t="s">
        <v>40</v>
      </c>
      <c r="I926" t="s">
        <v>41</v>
      </c>
      <c r="J926" t="s">
        <v>42</v>
      </c>
      <c r="K926" t="s">
        <v>43</v>
      </c>
      <c r="L926">
        <v>4</v>
      </c>
      <c r="M926">
        <v>1330</v>
      </c>
      <c r="N926">
        <v>5</v>
      </c>
      <c r="O926">
        <v>269.98</v>
      </c>
    </row>
    <row r="927" spans="1:15" x14ac:dyDescent="0.3">
      <c r="A927" t="s">
        <v>1365</v>
      </c>
      <c r="B927" t="s">
        <v>322</v>
      </c>
      <c r="C927" t="s">
        <v>641</v>
      </c>
      <c r="D927" t="s">
        <v>55</v>
      </c>
      <c r="E927" t="s">
        <v>130</v>
      </c>
      <c r="F927" t="s">
        <v>131</v>
      </c>
      <c r="G927" t="s">
        <v>132</v>
      </c>
      <c r="H927" t="s">
        <v>33</v>
      </c>
      <c r="I927" t="s">
        <v>68</v>
      </c>
      <c r="J927" t="s">
        <v>69</v>
      </c>
      <c r="K927" t="s">
        <v>43</v>
      </c>
      <c r="L927">
        <v>2</v>
      </c>
      <c r="M927">
        <v>810</v>
      </c>
      <c r="N927">
        <v>10</v>
      </c>
      <c r="O927">
        <v>101.53</v>
      </c>
    </row>
    <row r="928" spans="1:15" x14ac:dyDescent="0.3">
      <c r="A928" t="s">
        <v>1366</v>
      </c>
      <c r="B928" t="s">
        <v>64</v>
      </c>
      <c r="C928" t="s">
        <v>237</v>
      </c>
      <c r="D928" t="s">
        <v>73</v>
      </c>
      <c r="E928" t="s">
        <v>113</v>
      </c>
      <c r="F928" t="s">
        <v>114</v>
      </c>
      <c r="G928" t="s">
        <v>115</v>
      </c>
      <c r="H928" t="s">
        <v>40</v>
      </c>
      <c r="I928" t="s">
        <v>41</v>
      </c>
      <c r="J928" t="s">
        <v>42</v>
      </c>
      <c r="K928" t="s">
        <v>81</v>
      </c>
      <c r="L928">
        <v>5</v>
      </c>
      <c r="M928">
        <v>8550</v>
      </c>
      <c r="N928">
        <v>5</v>
      </c>
      <c r="O928">
        <v>1693.75</v>
      </c>
    </row>
    <row r="929" spans="1:15" x14ac:dyDescent="0.3">
      <c r="A929" t="s">
        <v>1367</v>
      </c>
      <c r="B929" t="s">
        <v>322</v>
      </c>
      <c r="C929" t="s">
        <v>240</v>
      </c>
      <c r="D929" t="s">
        <v>55</v>
      </c>
      <c r="E929" t="s">
        <v>30</v>
      </c>
      <c r="F929" t="s">
        <v>31</v>
      </c>
      <c r="G929" t="s">
        <v>32</v>
      </c>
      <c r="H929" t="s">
        <v>59</v>
      </c>
      <c r="I929" t="s">
        <v>93</v>
      </c>
      <c r="J929" t="s">
        <v>94</v>
      </c>
      <c r="K929" t="s">
        <v>43</v>
      </c>
      <c r="L929">
        <v>4</v>
      </c>
      <c r="M929">
        <v>22100</v>
      </c>
      <c r="N929">
        <v>15</v>
      </c>
      <c r="O929">
        <v>4555.41</v>
      </c>
    </row>
    <row r="930" spans="1:15" x14ac:dyDescent="0.3">
      <c r="A930" t="s">
        <v>1368</v>
      </c>
      <c r="B930" t="s">
        <v>314</v>
      </c>
      <c r="C930" t="s">
        <v>557</v>
      </c>
      <c r="D930" t="s">
        <v>102</v>
      </c>
      <c r="E930" t="s">
        <v>89</v>
      </c>
      <c r="F930" t="s">
        <v>20</v>
      </c>
      <c r="G930" t="s">
        <v>49</v>
      </c>
      <c r="H930" t="s">
        <v>33</v>
      </c>
      <c r="I930" t="s">
        <v>68</v>
      </c>
      <c r="J930" t="s">
        <v>69</v>
      </c>
      <c r="K930" t="s">
        <v>62</v>
      </c>
      <c r="L930">
        <v>5</v>
      </c>
      <c r="M930">
        <v>3600</v>
      </c>
      <c r="N930">
        <v>20</v>
      </c>
      <c r="O930">
        <v>508.83</v>
      </c>
    </row>
    <row r="931" spans="1:15" x14ac:dyDescent="0.3">
      <c r="A931" t="s">
        <v>1369</v>
      </c>
      <c r="B931" t="s">
        <v>352</v>
      </c>
      <c r="C931" t="s">
        <v>469</v>
      </c>
      <c r="D931" t="s">
        <v>98</v>
      </c>
      <c r="E931" t="s">
        <v>56</v>
      </c>
      <c r="F931" t="s">
        <v>57</v>
      </c>
      <c r="G931" t="s">
        <v>58</v>
      </c>
      <c r="H931" t="s">
        <v>59</v>
      </c>
      <c r="I931" t="s">
        <v>60</v>
      </c>
      <c r="J931" t="s">
        <v>61</v>
      </c>
      <c r="K931" t="s">
        <v>81</v>
      </c>
      <c r="L931">
        <v>5</v>
      </c>
      <c r="M931">
        <v>1662.5</v>
      </c>
      <c r="N931">
        <v>5</v>
      </c>
      <c r="O931">
        <v>310.99</v>
      </c>
    </row>
    <row r="932" spans="1:15" x14ac:dyDescent="0.3">
      <c r="A932" t="s">
        <v>1370</v>
      </c>
      <c r="B932" t="s">
        <v>508</v>
      </c>
      <c r="C932" t="s">
        <v>636</v>
      </c>
      <c r="D932" t="s">
        <v>80</v>
      </c>
      <c r="E932" t="s">
        <v>89</v>
      </c>
      <c r="F932" t="s">
        <v>20</v>
      </c>
      <c r="G932" t="s">
        <v>49</v>
      </c>
      <c r="H932" t="s">
        <v>22</v>
      </c>
      <c r="I932" t="s">
        <v>155</v>
      </c>
      <c r="J932" t="s">
        <v>156</v>
      </c>
      <c r="K932" t="s">
        <v>43</v>
      </c>
      <c r="L932">
        <v>3</v>
      </c>
      <c r="M932">
        <v>2700</v>
      </c>
      <c r="N932">
        <v>0</v>
      </c>
      <c r="O932">
        <v>471.65</v>
      </c>
    </row>
    <row r="933" spans="1:15" x14ac:dyDescent="0.3">
      <c r="A933" t="s">
        <v>1371</v>
      </c>
      <c r="B933" t="s">
        <v>552</v>
      </c>
      <c r="C933" t="s">
        <v>28</v>
      </c>
      <c r="D933" t="s">
        <v>73</v>
      </c>
      <c r="E933" t="s">
        <v>130</v>
      </c>
      <c r="F933" t="s">
        <v>131</v>
      </c>
      <c r="G933" t="s">
        <v>132</v>
      </c>
      <c r="H933" t="s">
        <v>59</v>
      </c>
      <c r="I933" t="s">
        <v>60</v>
      </c>
      <c r="J933" t="s">
        <v>61</v>
      </c>
      <c r="K933" t="s">
        <v>81</v>
      </c>
      <c r="L933">
        <v>5</v>
      </c>
      <c r="M933">
        <v>2137.5</v>
      </c>
      <c r="N933">
        <v>5</v>
      </c>
      <c r="O933">
        <v>336.55</v>
      </c>
    </row>
    <row r="934" spans="1:15" x14ac:dyDescent="0.3">
      <c r="A934" t="s">
        <v>1372</v>
      </c>
      <c r="B934" t="s">
        <v>707</v>
      </c>
      <c r="C934" t="s">
        <v>197</v>
      </c>
      <c r="D934" t="s">
        <v>85</v>
      </c>
      <c r="E934" t="s">
        <v>106</v>
      </c>
      <c r="F934" t="s">
        <v>20</v>
      </c>
      <c r="G934" t="s">
        <v>49</v>
      </c>
      <c r="H934" t="s">
        <v>22</v>
      </c>
      <c r="I934" t="s">
        <v>23</v>
      </c>
      <c r="J934" t="s">
        <v>24</v>
      </c>
      <c r="K934" t="s">
        <v>43</v>
      </c>
      <c r="L934">
        <v>3</v>
      </c>
      <c r="M934">
        <v>6270</v>
      </c>
      <c r="N934">
        <v>5</v>
      </c>
      <c r="O934">
        <v>681.35</v>
      </c>
    </row>
    <row r="935" spans="1:15" x14ac:dyDescent="0.3">
      <c r="A935" t="s">
        <v>1373</v>
      </c>
      <c r="B935" t="s">
        <v>100</v>
      </c>
      <c r="C935" t="s">
        <v>408</v>
      </c>
      <c r="D935" t="s">
        <v>18</v>
      </c>
      <c r="E935" t="s">
        <v>119</v>
      </c>
      <c r="F935" t="s">
        <v>31</v>
      </c>
      <c r="G935" t="s">
        <v>120</v>
      </c>
      <c r="H935" t="s">
        <v>59</v>
      </c>
      <c r="I935" t="s">
        <v>60</v>
      </c>
      <c r="J935" t="s">
        <v>61</v>
      </c>
      <c r="K935" t="s">
        <v>25</v>
      </c>
      <c r="L935">
        <v>1</v>
      </c>
      <c r="M935">
        <v>8075</v>
      </c>
      <c r="N935">
        <v>5</v>
      </c>
      <c r="O935">
        <v>967.92</v>
      </c>
    </row>
    <row r="936" spans="1:15" x14ac:dyDescent="0.3">
      <c r="A936" t="s">
        <v>1374</v>
      </c>
      <c r="B936" t="s">
        <v>855</v>
      </c>
      <c r="C936" t="s">
        <v>1067</v>
      </c>
      <c r="D936" t="s">
        <v>73</v>
      </c>
      <c r="E936" t="s">
        <v>19</v>
      </c>
      <c r="F936" t="s">
        <v>20</v>
      </c>
      <c r="G936" t="s">
        <v>21</v>
      </c>
      <c r="H936" t="s">
        <v>33</v>
      </c>
      <c r="I936" t="s">
        <v>34</v>
      </c>
      <c r="J936" t="s">
        <v>35</v>
      </c>
      <c r="K936" t="s">
        <v>62</v>
      </c>
      <c r="L936">
        <v>2</v>
      </c>
      <c r="M936">
        <v>104500</v>
      </c>
      <c r="N936">
        <v>5</v>
      </c>
      <c r="O936">
        <v>19963.73</v>
      </c>
    </row>
    <row r="937" spans="1:15" x14ac:dyDescent="0.3">
      <c r="A937" t="s">
        <v>1375</v>
      </c>
      <c r="B937" t="s">
        <v>108</v>
      </c>
      <c r="C937" t="s">
        <v>404</v>
      </c>
      <c r="D937" t="s">
        <v>47</v>
      </c>
      <c r="E937" t="s">
        <v>56</v>
      </c>
      <c r="F937" t="s">
        <v>57</v>
      </c>
      <c r="G937" t="s">
        <v>58</v>
      </c>
      <c r="H937" t="s">
        <v>40</v>
      </c>
      <c r="I937" t="s">
        <v>50</v>
      </c>
      <c r="J937" t="s">
        <v>51</v>
      </c>
      <c r="K937" t="s">
        <v>25</v>
      </c>
      <c r="L937">
        <v>4</v>
      </c>
      <c r="M937">
        <v>1120</v>
      </c>
      <c r="N937">
        <v>20</v>
      </c>
      <c r="O937">
        <v>217.94</v>
      </c>
    </row>
    <row r="938" spans="1:15" x14ac:dyDescent="0.3">
      <c r="A938" t="s">
        <v>1376</v>
      </c>
      <c r="B938" t="s">
        <v>148</v>
      </c>
      <c r="C938" t="s">
        <v>910</v>
      </c>
      <c r="D938" t="s">
        <v>47</v>
      </c>
      <c r="E938" t="s">
        <v>89</v>
      </c>
      <c r="F938" t="s">
        <v>20</v>
      </c>
      <c r="G938" t="s">
        <v>49</v>
      </c>
      <c r="H938" t="s">
        <v>59</v>
      </c>
      <c r="I938" t="s">
        <v>93</v>
      </c>
      <c r="J938" t="s">
        <v>94</v>
      </c>
      <c r="K938" t="s">
        <v>25</v>
      </c>
      <c r="L938">
        <v>5</v>
      </c>
      <c r="M938">
        <v>3600</v>
      </c>
      <c r="N938">
        <v>20</v>
      </c>
      <c r="O938">
        <v>639.85</v>
      </c>
    </row>
    <row r="939" spans="1:15" x14ac:dyDescent="0.3">
      <c r="A939" t="s">
        <v>1377</v>
      </c>
      <c r="B939" t="s">
        <v>385</v>
      </c>
      <c r="C939" t="s">
        <v>440</v>
      </c>
      <c r="D939" t="s">
        <v>73</v>
      </c>
      <c r="E939" t="s">
        <v>119</v>
      </c>
      <c r="F939" t="s">
        <v>31</v>
      </c>
      <c r="G939" t="s">
        <v>120</v>
      </c>
      <c r="H939" t="s">
        <v>22</v>
      </c>
      <c r="I939" t="s">
        <v>155</v>
      </c>
      <c r="J939" t="s">
        <v>156</v>
      </c>
      <c r="K939" t="s">
        <v>62</v>
      </c>
      <c r="L939">
        <v>5</v>
      </c>
      <c r="M939">
        <v>34000</v>
      </c>
      <c r="N939">
        <v>20</v>
      </c>
      <c r="O939">
        <v>5870.02</v>
      </c>
    </row>
    <row r="940" spans="1:15" x14ac:dyDescent="0.3">
      <c r="A940" t="s">
        <v>1378</v>
      </c>
      <c r="B940" t="s">
        <v>1379</v>
      </c>
      <c r="C940" t="s">
        <v>660</v>
      </c>
      <c r="D940" t="s">
        <v>29</v>
      </c>
      <c r="E940" t="s">
        <v>30</v>
      </c>
      <c r="F940" t="s">
        <v>31</v>
      </c>
      <c r="G940" t="s">
        <v>32</v>
      </c>
      <c r="H940" t="s">
        <v>22</v>
      </c>
      <c r="I940" t="s">
        <v>23</v>
      </c>
      <c r="J940" t="s">
        <v>24</v>
      </c>
      <c r="K940" t="s">
        <v>62</v>
      </c>
      <c r="L940">
        <v>2</v>
      </c>
      <c r="M940">
        <v>11050</v>
      </c>
      <c r="N940">
        <v>15</v>
      </c>
      <c r="O940">
        <v>1288.99</v>
      </c>
    </row>
    <row r="941" spans="1:15" x14ac:dyDescent="0.3">
      <c r="A941" t="s">
        <v>1380</v>
      </c>
      <c r="B941" t="s">
        <v>503</v>
      </c>
      <c r="C941" t="s">
        <v>413</v>
      </c>
      <c r="D941" t="s">
        <v>102</v>
      </c>
      <c r="E941" t="s">
        <v>56</v>
      </c>
      <c r="F941" t="s">
        <v>57</v>
      </c>
      <c r="G941" t="s">
        <v>58</v>
      </c>
      <c r="H941" t="s">
        <v>59</v>
      </c>
      <c r="I941" t="s">
        <v>93</v>
      </c>
      <c r="J941" t="s">
        <v>94</v>
      </c>
      <c r="K941" t="s">
        <v>25</v>
      </c>
      <c r="L941">
        <v>3</v>
      </c>
      <c r="M941">
        <v>840</v>
      </c>
      <c r="N941">
        <v>20</v>
      </c>
      <c r="O941">
        <v>139.85</v>
      </c>
    </row>
    <row r="942" spans="1:15" x14ac:dyDescent="0.3">
      <c r="A942" t="s">
        <v>1381</v>
      </c>
      <c r="B942" t="s">
        <v>358</v>
      </c>
      <c r="C942" t="s">
        <v>831</v>
      </c>
      <c r="D942" t="s">
        <v>47</v>
      </c>
      <c r="E942" t="s">
        <v>89</v>
      </c>
      <c r="F942" t="s">
        <v>20</v>
      </c>
      <c r="G942" t="s">
        <v>49</v>
      </c>
      <c r="H942" t="s">
        <v>33</v>
      </c>
      <c r="I942" t="s">
        <v>68</v>
      </c>
      <c r="J942" t="s">
        <v>133</v>
      </c>
      <c r="K942" t="s">
        <v>25</v>
      </c>
      <c r="L942">
        <v>5</v>
      </c>
      <c r="M942">
        <v>4050</v>
      </c>
      <c r="N942">
        <v>10</v>
      </c>
      <c r="O942">
        <v>497.05</v>
      </c>
    </row>
    <row r="943" spans="1:15" x14ac:dyDescent="0.3">
      <c r="A943" t="s">
        <v>1382</v>
      </c>
      <c r="B943" t="s">
        <v>333</v>
      </c>
      <c r="C943" t="s">
        <v>605</v>
      </c>
      <c r="D943" t="s">
        <v>73</v>
      </c>
      <c r="E943" t="s">
        <v>89</v>
      </c>
      <c r="F943" t="s">
        <v>20</v>
      </c>
      <c r="G943" t="s">
        <v>49</v>
      </c>
      <c r="H943" t="s">
        <v>40</v>
      </c>
      <c r="I943" t="s">
        <v>41</v>
      </c>
      <c r="J943" t="s">
        <v>42</v>
      </c>
      <c r="K943" t="s">
        <v>81</v>
      </c>
      <c r="L943">
        <v>5</v>
      </c>
      <c r="M943">
        <v>4050</v>
      </c>
      <c r="N943">
        <v>10</v>
      </c>
      <c r="O943">
        <v>430.3</v>
      </c>
    </row>
    <row r="944" spans="1:15" x14ac:dyDescent="0.3">
      <c r="A944" t="s">
        <v>1383</v>
      </c>
      <c r="B944" t="s">
        <v>858</v>
      </c>
      <c r="C944" t="s">
        <v>621</v>
      </c>
      <c r="D944" t="s">
        <v>18</v>
      </c>
      <c r="E944" t="s">
        <v>56</v>
      </c>
      <c r="F944" t="s">
        <v>57</v>
      </c>
      <c r="G944" t="s">
        <v>58</v>
      </c>
      <c r="H944" t="s">
        <v>40</v>
      </c>
      <c r="I944" t="s">
        <v>50</v>
      </c>
      <c r="J944" t="s">
        <v>51</v>
      </c>
      <c r="K944" t="s">
        <v>62</v>
      </c>
      <c r="L944">
        <v>4</v>
      </c>
      <c r="M944">
        <v>1330</v>
      </c>
      <c r="N944">
        <v>5</v>
      </c>
      <c r="O944">
        <v>143.44999999999999</v>
      </c>
    </row>
    <row r="945" spans="1:15" x14ac:dyDescent="0.3">
      <c r="A945" t="s">
        <v>1384</v>
      </c>
      <c r="B945" t="s">
        <v>240</v>
      </c>
      <c r="C945" t="s">
        <v>71</v>
      </c>
      <c r="D945" t="s">
        <v>98</v>
      </c>
      <c r="E945" t="s">
        <v>48</v>
      </c>
      <c r="F945" t="s">
        <v>20</v>
      </c>
      <c r="G945" t="s">
        <v>49</v>
      </c>
      <c r="H945" t="s">
        <v>40</v>
      </c>
      <c r="I945" t="s">
        <v>41</v>
      </c>
      <c r="J945" t="s">
        <v>42</v>
      </c>
      <c r="K945" t="s">
        <v>62</v>
      </c>
      <c r="L945">
        <v>4</v>
      </c>
      <c r="M945">
        <v>5100</v>
      </c>
      <c r="N945">
        <v>15</v>
      </c>
      <c r="O945">
        <v>492.36</v>
      </c>
    </row>
    <row r="946" spans="1:15" x14ac:dyDescent="0.3">
      <c r="A946" t="s">
        <v>1385</v>
      </c>
      <c r="B946" t="s">
        <v>118</v>
      </c>
      <c r="C946" t="s">
        <v>655</v>
      </c>
      <c r="D946" t="s">
        <v>98</v>
      </c>
      <c r="E946" t="s">
        <v>19</v>
      </c>
      <c r="F946" t="s">
        <v>20</v>
      </c>
      <c r="G946" t="s">
        <v>21</v>
      </c>
      <c r="H946" t="s">
        <v>22</v>
      </c>
      <c r="I946" t="s">
        <v>23</v>
      </c>
      <c r="J946" t="s">
        <v>24</v>
      </c>
      <c r="K946" t="s">
        <v>62</v>
      </c>
      <c r="L946">
        <v>4</v>
      </c>
      <c r="M946">
        <v>176000</v>
      </c>
      <c r="N946">
        <v>20</v>
      </c>
      <c r="O946">
        <v>26529.03</v>
      </c>
    </row>
    <row r="947" spans="1:15" x14ac:dyDescent="0.3">
      <c r="A947" t="s">
        <v>1386</v>
      </c>
      <c r="B947" t="s">
        <v>776</v>
      </c>
      <c r="C947" t="s">
        <v>16</v>
      </c>
      <c r="D947" t="s">
        <v>47</v>
      </c>
      <c r="E947" t="s">
        <v>48</v>
      </c>
      <c r="F947" t="s">
        <v>20</v>
      </c>
      <c r="G947" t="s">
        <v>49</v>
      </c>
      <c r="H947" t="s">
        <v>33</v>
      </c>
      <c r="I947" t="s">
        <v>34</v>
      </c>
      <c r="J947" t="s">
        <v>35</v>
      </c>
      <c r="K947" t="s">
        <v>25</v>
      </c>
      <c r="L947">
        <v>4</v>
      </c>
      <c r="M947">
        <v>6000</v>
      </c>
      <c r="N947">
        <v>0</v>
      </c>
      <c r="O947">
        <v>621.89</v>
      </c>
    </row>
    <row r="948" spans="1:15" x14ac:dyDescent="0.3">
      <c r="A948" t="s">
        <v>1387</v>
      </c>
      <c r="B948" t="s">
        <v>572</v>
      </c>
      <c r="C948" t="s">
        <v>813</v>
      </c>
      <c r="D948" t="s">
        <v>85</v>
      </c>
      <c r="E948" t="s">
        <v>89</v>
      </c>
      <c r="F948" t="s">
        <v>20</v>
      </c>
      <c r="G948" t="s">
        <v>49</v>
      </c>
      <c r="H948" t="s">
        <v>40</v>
      </c>
      <c r="I948" t="s">
        <v>50</v>
      </c>
      <c r="J948" t="s">
        <v>51</v>
      </c>
      <c r="K948" t="s">
        <v>62</v>
      </c>
      <c r="L948">
        <v>2</v>
      </c>
      <c r="M948">
        <v>1440</v>
      </c>
      <c r="N948">
        <v>20</v>
      </c>
      <c r="O948">
        <v>191.53</v>
      </c>
    </row>
    <row r="949" spans="1:15" x14ac:dyDescent="0.3">
      <c r="A949" t="s">
        <v>1388</v>
      </c>
      <c r="B949" t="s">
        <v>662</v>
      </c>
      <c r="C949" t="s">
        <v>53</v>
      </c>
      <c r="D949" t="s">
        <v>29</v>
      </c>
      <c r="E949" t="s">
        <v>48</v>
      </c>
      <c r="F949" t="s">
        <v>20</v>
      </c>
      <c r="G949" t="s">
        <v>49</v>
      </c>
      <c r="H949" t="s">
        <v>40</v>
      </c>
      <c r="I949" t="s">
        <v>50</v>
      </c>
      <c r="J949" t="s">
        <v>51</v>
      </c>
      <c r="K949" t="s">
        <v>25</v>
      </c>
      <c r="L949">
        <v>2</v>
      </c>
      <c r="M949">
        <v>2400</v>
      </c>
      <c r="N949">
        <v>20</v>
      </c>
      <c r="O949">
        <v>414.63</v>
      </c>
    </row>
    <row r="950" spans="1:15" x14ac:dyDescent="0.3">
      <c r="A950" t="s">
        <v>1389</v>
      </c>
      <c r="B950" t="s">
        <v>179</v>
      </c>
      <c r="C950" t="s">
        <v>765</v>
      </c>
      <c r="D950" t="s">
        <v>55</v>
      </c>
      <c r="E950" t="s">
        <v>113</v>
      </c>
      <c r="F950" t="s">
        <v>114</v>
      </c>
      <c r="G950" t="s">
        <v>115</v>
      </c>
      <c r="H950" t="s">
        <v>22</v>
      </c>
      <c r="I950" t="s">
        <v>23</v>
      </c>
      <c r="J950" t="s">
        <v>24</v>
      </c>
      <c r="K950" t="s">
        <v>81</v>
      </c>
      <c r="L950">
        <v>4</v>
      </c>
      <c r="M950">
        <v>6120</v>
      </c>
      <c r="N950">
        <v>15</v>
      </c>
      <c r="O950">
        <v>1163.57</v>
      </c>
    </row>
    <row r="951" spans="1:15" x14ac:dyDescent="0.3">
      <c r="A951" t="s">
        <v>1390</v>
      </c>
      <c r="B951" t="s">
        <v>243</v>
      </c>
      <c r="C951" t="s">
        <v>138</v>
      </c>
      <c r="D951" t="s">
        <v>29</v>
      </c>
      <c r="E951" t="s">
        <v>89</v>
      </c>
      <c r="F951" t="s">
        <v>20</v>
      </c>
      <c r="G951" t="s">
        <v>49</v>
      </c>
      <c r="H951" t="s">
        <v>59</v>
      </c>
      <c r="I951" t="s">
        <v>93</v>
      </c>
      <c r="J951" t="s">
        <v>94</v>
      </c>
      <c r="K951" t="s">
        <v>81</v>
      </c>
      <c r="L951">
        <v>3</v>
      </c>
      <c r="M951">
        <v>2700</v>
      </c>
      <c r="N951">
        <v>0</v>
      </c>
      <c r="O951">
        <v>424.49</v>
      </c>
    </row>
    <row r="952" spans="1:15" x14ac:dyDescent="0.3">
      <c r="A952" t="s">
        <v>1391</v>
      </c>
      <c r="B952" t="s">
        <v>491</v>
      </c>
      <c r="C952" t="s">
        <v>65</v>
      </c>
      <c r="D952" t="s">
        <v>29</v>
      </c>
      <c r="E952" t="s">
        <v>119</v>
      </c>
      <c r="F952" t="s">
        <v>31</v>
      </c>
      <c r="G952" t="s">
        <v>120</v>
      </c>
      <c r="H952" t="s">
        <v>40</v>
      </c>
      <c r="I952" t="s">
        <v>50</v>
      </c>
      <c r="J952" t="s">
        <v>51</v>
      </c>
      <c r="K952" t="s">
        <v>25</v>
      </c>
      <c r="L952">
        <v>2</v>
      </c>
      <c r="M952">
        <v>17000</v>
      </c>
      <c r="N952">
        <v>0</v>
      </c>
      <c r="O952">
        <v>1822.21</v>
      </c>
    </row>
    <row r="953" spans="1:15" x14ac:dyDescent="0.3">
      <c r="A953" t="s">
        <v>1392</v>
      </c>
      <c r="B953" t="s">
        <v>177</v>
      </c>
      <c r="C953" t="s">
        <v>258</v>
      </c>
      <c r="D953" t="s">
        <v>55</v>
      </c>
      <c r="E953" t="s">
        <v>106</v>
      </c>
      <c r="F953" t="s">
        <v>20</v>
      </c>
      <c r="G953" t="s">
        <v>49</v>
      </c>
      <c r="H953" t="s">
        <v>33</v>
      </c>
      <c r="I953" t="s">
        <v>68</v>
      </c>
      <c r="J953" t="s">
        <v>133</v>
      </c>
      <c r="K953" t="s">
        <v>43</v>
      </c>
      <c r="L953">
        <v>3</v>
      </c>
      <c r="M953">
        <v>6270</v>
      </c>
      <c r="N953">
        <v>5</v>
      </c>
      <c r="O953">
        <v>1074.0999999999999</v>
      </c>
    </row>
    <row r="954" spans="1:15" x14ac:dyDescent="0.3">
      <c r="A954" t="s">
        <v>1393</v>
      </c>
      <c r="B954" t="s">
        <v>162</v>
      </c>
      <c r="C954" t="s">
        <v>192</v>
      </c>
      <c r="D954" t="s">
        <v>102</v>
      </c>
      <c r="E954" t="s">
        <v>89</v>
      </c>
      <c r="F954" t="s">
        <v>20</v>
      </c>
      <c r="G954" t="s">
        <v>49</v>
      </c>
      <c r="H954" t="s">
        <v>33</v>
      </c>
      <c r="I954" t="s">
        <v>68</v>
      </c>
      <c r="J954" t="s">
        <v>69</v>
      </c>
      <c r="K954" t="s">
        <v>81</v>
      </c>
      <c r="L954">
        <v>4</v>
      </c>
      <c r="M954">
        <v>3060</v>
      </c>
      <c r="N954">
        <v>15</v>
      </c>
      <c r="O954">
        <v>292.17</v>
      </c>
    </row>
    <row r="955" spans="1:15" x14ac:dyDescent="0.3">
      <c r="A955" t="s">
        <v>1394</v>
      </c>
      <c r="B955" t="s">
        <v>457</v>
      </c>
      <c r="C955" t="s">
        <v>636</v>
      </c>
      <c r="D955" t="s">
        <v>73</v>
      </c>
      <c r="E955" t="s">
        <v>48</v>
      </c>
      <c r="F955" t="s">
        <v>20</v>
      </c>
      <c r="G955" t="s">
        <v>49</v>
      </c>
      <c r="H955" t="s">
        <v>33</v>
      </c>
      <c r="I955" t="s">
        <v>68</v>
      </c>
      <c r="J955" t="s">
        <v>69</v>
      </c>
      <c r="K955" t="s">
        <v>25</v>
      </c>
      <c r="L955">
        <v>4</v>
      </c>
      <c r="M955">
        <v>5100</v>
      </c>
      <c r="N955">
        <v>15</v>
      </c>
      <c r="O955">
        <v>994.42</v>
      </c>
    </row>
    <row r="956" spans="1:15" x14ac:dyDescent="0.3">
      <c r="A956" t="s">
        <v>1395</v>
      </c>
      <c r="B956" t="s">
        <v>786</v>
      </c>
      <c r="C956" t="s">
        <v>488</v>
      </c>
      <c r="D956" t="s">
        <v>29</v>
      </c>
      <c r="E956" t="s">
        <v>113</v>
      </c>
      <c r="F956" t="s">
        <v>114</v>
      </c>
      <c r="G956" t="s">
        <v>115</v>
      </c>
      <c r="H956" t="s">
        <v>33</v>
      </c>
      <c r="I956" t="s">
        <v>34</v>
      </c>
      <c r="J956" t="s">
        <v>35</v>
      </c>
      <c r="K956" t="s">
        <v>62</v>
      </c>
      <c r="L956">
        <v>4</v>
      </c>
      <c r="M956">
        <v>7200</v>
      </c>
      <c r="N956">
        <v>0</v>
      </c>
      <c r="O956">
        <v>1006.46</v>
      </c>
    </row>
    <row r="957" spans="1:15" x14ac:dyDescent="0.3">
      <c r="A957" t="s">
        <v>1396</v>
      </c>
      <c r="B957" t="s">
        <v>655</v>
      </c>
      <c r="C957" t="s">
        <v>215</v>
      </c>
      <c r="D957" t="s">
        <v>29</v>
      </c>
      <c r="E957" t="s">
        <v>89</v>
      </c>
      <c r="F957" t="s">
        <v>20</v>
      </c>
      <c r="G957" t="s">
        <v>49</v>
      </c>
      <c r="H957" t="s">
        <v>40</v>
      </c>
      <c r="I957" t="s">
        <v>50</v>
      </c>
      <c r="J957" t="s">
        <v>51</v>
      </c>
      <c r="K957" t="s">
        <v>43</v>
      </c>
      <c r="L957">
        <v>3</v>
      </c>
      <c r="M957">
        <v>2430</v>
      </c>
      <c r="N957">
        <v>10</v>
      </c>
      <c r="O957">
        <v>529.07000000000005</v>
      </c>
    </row>
    <row r="958" spans="1:15" x14ac:dyDescent="0.3">
      <c r="A958" t="s">
        <v>1397</v>
      </c>
      <c r="B958" t="s">
        <v>519</v>
      </c>
      <c r="C958" t="s">
        <v>687</v>
      </c>
      <c r="D958" t="s">
        <v>73</v>
      </c>
      <c r="E958" t="s">
        <v>106</v>
      </c>
      <c r="F958" t="s">
        <v>20</v>
      </c>
      <c r="G958" t="s">
        <v>49</v>
      </c>
      <c r="H958" t="s">
        <v>59</v>
      </c>
      <c r="I958" t="s">
        <v>60</v>
      </c>
      <c r="J958" t="s">
        <v>61</v>
      </c>
      <c r="K958" t="s">
        <v>25</v>
      </c>
      <c r="L958">
        <v>1</v>
      </c>
      <c r="M958">
        <v>1870</v>
      </c>
      <c r="N958">
        <v>15</v>
      </c>
      <c r="O958">
        <v>284.17</v>
      </c>
    </row>
    <row r="959" spans="1:15" x14ac:dyDescent="0.3">
      <c r="A959" t="s">
        <v>1398</v>
      </c>
      <c r="B959" t="s">
        <v>765</v>
      </c>
      <c r="C959" t="s">
        <v>328</v>
      </c>
      <c r="D959" t="s">
        <v>85</v>
      </c>
      <c r="E959" t="s">
        <v>130</v>
      </c>
      <c r="F959" t="s">
        <v>131</v>
      </c>
      <c r="G959" t="s">
        <v>132</v>
      </c>
      <c r="H959" t="s">
        <v>33</v>
      </c>
      <c r="I959" t="s">
        <v>68</v>
      </c>
      <c r="J959" t="s">
        <v>133</v>
      </c>
      <c r="K959" t="s">
        <v>62</v>
      </c>
      <c r="L959">
        <v>5</v>
      </c>
      <c r="M959">
        <v>2250</v>
      </c>
      <c r="N959">
        <v>0</v>
      </c>
      <c r="O959">
        <v>340.68</v>
      </c>
    </row>
    <row r="960" spans="1:15" x14ac:dyDescent="0.3">
      <c r="A960" t="s">
        <v>1399</v>
      </c>
      <c r="B960" t="s">
        <v>270</v>
      </c>
      <c r="C960" t="s">
        <v>505</v>
      </c>
      <c r="D960" t="s">
        <v>29</v>
      </c>
      <c r="E960" t="s">
        <v>48</v>
      </c>
      <c r="F960" t="s">
        <v>20</v>
      </c>
      <c r="G960" t="s">
        <v>49</v>
      </c>
      <c r="H960" t="s">
        <v>33</v>
      </c>
      <c r="I960" t="s">
        <v>34</v>
      </c>
      <c r="J960" t="s">
        <v>35</v>
      </c>
      <c r="K960" t="s">
        <v>81</v>
      </c>
      <c r="L960">
        <v>4</v>
      </c>
      <c r="M960">
        <v>4800</v>
      </c>
      <c r="N960">
        <v>20</v>
      </c>
      <c r="O960">
        <v>982.62</v>
      </c>
    </row>
    <row r="961" spans="1:15" x14ac:dyDescent="0.3">
      <c r="A961" t="s">
        <v>1400</v>
      </c>
      <c r="B961" t="s">
        <v>128</v>
      </c>
      <c r="C961" t="s">
        <v>662</v>
      </c>
      <c r="D961" t="s">
        <v>73</v>
      </c>
      <c r="E961" t="s">
        <v>56</v>
      </c>
      <c r="F961" t="s">
        <v>57</v>
      </c>
      <c r="G961" t="s">
        <v>58</v>
      </c>
      <c r="H961" t="s">
        <v>59</v>
      </c>
      <c r="I961" t="s">
        <v>60</v>
      </c>
      <c r="J961" t="s">
        <v>61</v>
      </c>
      <c r="K961" t="s">
        <v>62</v>
      </c>
      <c r="L961">
        <v>5</v>
      </c>
      <c r="M961">
        <v>1575</v>
      </c>
      <c r="N961">
        <v>10</v>
      </c>
      <c r="O961">
        <v>207.37</v>
      </c>
    </row>
    <row r="962" spans="1:15" x14ac:dyDescent="0.3">
      <c r="A962" t="s">
        <v>1401</v>
      </c>
      <c r="B962" t="s">
        <v>655</v>
      </c>
      <c r="C962" t="s">
        <v>262</v>
      </c>
      <c r="D962" t="s">
        <v>73</v>
      </c>
      <c r="E962" t="s">
        <v>19</v>
      </c>
      <c r="F962" t="s">
        <v>20</v>
      </c>
      <c r="G962" t="s">
        <v>21</v>
      </c>
      <c r="H962" t="s">
        <v>33</v>
      </c>
      <c r="I962" t="s">
        <v>68</v>
      </c>
      <c r="J962" t="s">
        <v>69</v>
      </c>
      <c r="K962" t="s">
        <v>81</v>
      </c>
      <c r="L962">
        <v>1</v>
      </c>
      <c r="M962">
        <v>55000</v>
      </c>
      <c r="N962">
        <v>0</v>
      </c>
      <c r="O962">
        <v>11614.49</v>
      </c>
    </row>
    <row r="963" spans="1:15" x14ac:dyDescent="0.3">
      <c r="A963" t="s">
        <v>1402</v>
      </c>
      <c r="B963" t="s">
        <v>745</v>
      </c>
      <c r="C963" t="s">
        <v>123</v>
      </c>
      <c r="D963" t="s">
        <v>80</v>
      </c>
      <c r="E963" t="s">
        <v>130</v>
      </c>
      <c r="F963" t="s">
        <v>131</v>
      </c>
      <c r="G963" t="s">
        <v>132</v>
      </c>
      <c r="H963" t="s">
        <v>40</v>
      </c>
      <c r="I963" t="s">
        <v>41</v>
      </c>
      <c r="J963" t="s">
        <v>42</v>
      </c>
      <c r="K963" t="s">
        <v>25</v>
      </c>
      <c r="L963">
        <v>1</v>
      </c>
      <c r="M963">
        <v>450</v>
      </c>
      <c r="N963">
        <v>0</v>
      </c>
      <c r="O963">
        <v>46.17</v>
      </c>
    </row>
    <row r="964" spans="1:15" x14ac:dyDescent="0.3">
      <c r="A964" t="s">
        <v>1403</v>
      </c>
      <c r="B964" t="s">
        <v>1013</v>
      </c>
      <c r="C964" t="s">
        <v>28</v>
      </c>
      <c r="D964" t="s">
        <v>73</v>
      </c>
      <c r="E964" t="s">
        <v>119</v>
      </c>
      <c r="F964" t="s">
        <v>31</v>
      </c>
      <c r="G964" t="s">
        <v>120</v>
      </c>
      <c r="H964" t="s">
        <v>33</v>
      </c>
      <c r="I964" t="s">
        <v>68</v>
      </c>
      <c r="J964" t="s">
        <v>69</v>
      </c>
      <c r="K964" t="s">
        <v>43</v>
      </c>
      <c r="L964">
        <v>3</v>
      </c>
      <c r="M964">
        <v>22950</v>
      </c>
      <c r="N964">
        <v>10</v>
      </c>
      <c r="O964">
        <v>4016.28</v>
      </c>
    </row>
    <row r="965" spans="1:15" x14ac:dyDescent="0.3">
      <c r="A965" t="s">
        <v>1404</v>
      </c>
      <c r="B965" t="s">
        <v>197</v>
      </c>
      <c r="C965" t="s">
        <v>191</v>
      </c>
      <c r="D965" t="s">
        <v>55</v>
      </c>
      <c r="E965" t="s">
        <v>130</v>
      </c>
      <c r="F965" t="s">
        <v>131</v>
      </c>
      <c r="G965" t="s">
        <v>132</v>
      </c>
      <c r="H965" t="s">
        <v>40</v>
      </c>
      <c r="I965" t="s">
        <v>41</v>
      </c>
      <c r="J965" t="s">
        <v>42</v>
      </c>
      <c r="K965" t="s">
        <v>62</v>
      </c>
      <c r="L965">
        <v>2</v>
      </c>
      <c r="M965">
        <v>765</v>
      </c>
      <c r="N965">
        <v>15</v>
      </c>
      <c r="O965">
        <v>137.69999999999999</v>
      </c>
    </row>
    <row r="966" spans="1:15" x14ac:dyDescent="0.3">
      <c r="A966" t="s">
        <v>1405</v>
      </c>
      <c r="B966" t="s">
        <v>575</v>
      </c>
      <c r="C966" t="s">
        <v>463</v>
      </c>
      <c r="D966" t="s">
        <v>80</v>
      </c>
      <c r="E966" t="s">
        <v>48</v>
      </c>
      <c r="F966" t="s">
        <v>20</v>
      </c>
      <c r="G966" t="s">
        <v>49</v>
      </c>
      <c r="H966" t="s">
        <v>40</v>
      </c>
      <c r="I966" t="s">
        <v>41</v>
      </c>
      <c r="J966" t="s">
        <v>42</v>
      </c>
      <c r="K966" t="s">
        <v>25</v>
      </c>
      <c r="L966">
        <v>3</v>
      </c>
      <c r="M966">
        <v>4500</v>
      </c>
      <c r="N966">
        <v>0</v>
      </c>
      <c r="O966">
        <v>811.43</v>
      </c>
    </row>
    <row r="967" spans="1:15" x14ac:dyDescent="0.3">
      <c r="A967" t="s">
        <v>1406</v>
      </c>
      <c r="B967" t="s">
        <v>664</v>
      </c>
      <c r="C967" t="s">
        <v>769</v>
      </c>
      <c r="D967" t="s">
        <v>98</v>
      </c>
      <c r="E967" t="s">
        <v>19</v>
      </c>
      <c r="F967" t="s">
        <v>20</v>
      </c>
      <c r="G967" t="s">
        <v>21</v>
      </c>
      <c r="H967" t="s">
        <v>40</v>
      </c>
      <c r="I967" t="s">
        <v>41</v>
      </c>
      <c r="J967" t="s">
        <v>42</v>
      </c>
      <c r="K967" t="s">
        <v>81</v>
      </c>
      <c r="L967">
        <v>2</v>
      </c>
      <c r="M967">
        <v>104500</v>
      </c>
      <c r="N967">
        <v>5</v>
      </c>
      <c r="O967">
        <v>11976.31</v>
      </c>
    </row>
    <row r="968" spans="1:15" x14ac:dyDescent="0.3">
      <c r="A968" t="s">
        <v>1407</v>
      </c>
      <c r="B968" t="s">
        <v>398</v>
      </c>
      <c r="C968" t="s">
        <v>142</v>
      </c>
      <c r="D968" t="s">
        <v>98</v>
      </c>
      <c r="E968" t="s">
        <v>19</v>
      </c>
      <c r="F968" t="s">
        <v>20</v>
      </c>
      <c r="G968" t="s">
        <v>21</v>
      </c>
      <c r="H968" t="s">
        <v>33</v>
      </c>
      <c r="I968" t="s">
        <v>34</v>
      </c>
      <c r="J968" t="s">
        <v>35</v>
      </c>
      <c r="K968" t="s">
        <v>62</v>
      </c>
      <c r="L968">
        <v>1</v>
      </c>
      <c r="M968">
        <v>49500</v>
      </c>
      <c r="N968">
        <v>10</v>
      </c>
      <c r="O968">
        <v>9451.4599999999991</v>
      </c>
    </row>
    <row r="969" spans="1:15" x14ac:dyDescent="0.3">
      <c r="A969" t="s">
        <v>1408</v>
      </c>
      <c r="B969" t="s">
        <v>734</v>
      </c>
      <c r="C969" t="s">
        <v>582</v>
      </c>
      <c r="D969" t="s">
        <v>102</v>
      </c>
      <c r="E969" t="s">
        <v>30</v>
      </c>
      <c r="F969" t="s">
        <v>31</v>
      </c>
      <c r="G969" t="s">
        <v>32</v>
      </c>
      <c r="H969" t="s">
        <v>33</v>
      </c>
      <c r="I969" t="s">
        <v>68</v>
      </c>
      <c r="J969" t="s">
        <v>133</v>
      </c>
      <c r="K969" t="s">
        <v>81</v>
      </c>
      <c r="L969">
        <v>3</v>
      </c>
      <c r="M969">
        <v>15600</v>
      </c>
      <c r="N969">
        <v>20</v>
      </c>
      <c r="O969">
        <v>3127.78</v>
      </c>
    </row>
    <row r="970" spans="1:15" x14ac:dyDescent="0.3">
      <c r="A970" t="s">
        <v>1409</v>
      </c>
      <c r="B970" t="s">
        <v>177</v>
      </c>
      <c r="C970" t="s">
        <v>235</v>
      </c>
      <c r="D970" t="s">
        <v>47</v>
      </c>
      <c r="E970" t="s">
        <v>119</v>
      </c>
      <c r="F970" t="s">
        <v>31</v>
      </c>
      <c r="G970" t="s">
        <v>120</v>
      </c>
      <c r="H970" t="s">
        <v>40</v>
      </c>
      <c r="I970" t="s">
        <v>41</v>
      </c>
      <c r="J970" t="s">
        <v>42</v>
      </c>
      <c r="K970" t="s">
        <v>43</v>
      </c>
      <c r="L970">
        <v>5</v>
      </c>
      <c r="M970">
        <v>36125</v>
      </c>
      <c r="N970">
        <v>15</v>
      </c>
      <c r="O970">
        <v>4415.12</v>
      </c>
    </row>
    <row r="971" spans="1:15" x14ac:dyDescent="0.3">
      <c r="A971" t="s">
        <v>1410</v>
      </c>
      <c r="B971" t="s">
        <v>782</v>
      </c>
      <c r="C971" t="s">
        <v>212</v>
      </c>
      <c r="D971" t="s">
        <v>39</v>
      </c>
      <c r="E971" t="s">
        <v>19</v>
      </c>
      <c r="F971" t="s">
        <v>20</v>
      </c>
      <c r="G971" t="s">
        <v>21</v>
      </c>
      <c r="H971" t="s">
        <v>33</v>
      </c>
      <c r="I971" t="s">
        <v>68</v>
      </c>
      <c r="J971" t="s">
        <v>69</v>
      </c>
      <c r="K971" t="s">
        <v>43</v>
      </c>
      <c r="L971">
        <v>1</v>
      </c>
      <c r="M971">
        <v>55000</v>
      </c>
      <c r="N971">
        <v>0</v>
      </c>
      <c r="O971">
        <v>8103.08</v>
      </c>
    </row>
    <row r="972" spans="1:15" x14ac:dyDescent="0.3">
      <c r="A972" t="s">
        <v>1411</v>
      </c>
      <c r="B972" t="s">
        <v>179</v>
      </c>
      <c r="C972" t="s">
        <v>558</v>
      </c>
      <c r="D972" t="s">
        <v>47</v>
      </c>
      <c r="E972" t="s">
        <v>119</v>
      </c>
      <c r="F972" t="s">
        <v>31</v>
      </c>
      <c r="G972" t="s">
        <v>120</v>
      </c>
      <c r="H972" t="s">
        <v>22</v>
      </c>
      <c r="I972" t="s">
        <v>23</v>
      </c>
      <c r="J972" t="s">
        <v>24</v>
      </c>
      <c r="K972" t="s">
        <v>62</v>
      </c>
      <c r="L972">
        <v>4</v>
      </c>
      <c r="M972">
        <v>28900</v>
      </c>
      <c r="N972">
        <v>15</v>
      </c>
      <c r="O972">
        <v>4082.92</v>
      </c>
    </row>
    <row r="973" spans="1:15" x14ac:dyDescent="0.3">
      <c r="A973" t="s">
        <v>1412</v>
      </c>
      <c r="B973" t="s">
        <v>962</v>
      </c>
      <c r="C973" t="s">
        <v>234</v>
      </c>
      <c r="D973" t="s">
        <v>85</v>
      </c>
      <c r="E973" t="s">
        <v>113</v>
      </c>
      <c r="F973" t="s">
        <v>114</v>
      </c>
      <c r="G973" t="s">
        <v>115</v>
      </c>
      <c r="H973" t="s">
        <v>22</v>
      </c>
      <c r="I973" t="s">
        <v>155</v>
      </c>
      <c r="J973" t="s">
        <v>156</v>
      </c>
      <c r="K973" t="s">
        <v>43</v>
      </c>
      <c r="L973">
        <v>4</v>
      </c>
      <c r="M973">
        <v>5760</v>
      </c>
      <c r="N973">
        <v>20</v>
      </c>
      <c r="O973">
        <v>1185.9000000000001</v>
      </c>
    </row>
    <row r="974" spans="1:15" x14ac:dyDescent="0.3">
      <c r="A974" t="s">
        <v>1413</v>
      </c>
      <c r="B974" t="s">
        <v>734</v>
      </c>
      <c r="C974" t="s">
        <v>566</v>
      </c>
      <c r="D974" t="s">
        <v>85</v>
      </c>
      <c r="E974" t="s">
        <v>89</v>
      </c>
      <c r="F974" t="s">
        <v>20</v>
      </c>
      <c r="G974" t="s">
        <v>49</v>
      </c>
      <c r="H974" t="s">
        <v>22</v>
      </c>
      <c r="I974" t="s">
        <v>155</v>
      </c>
      <c r="J974" t="s">
        <v>156</v>
      </c>
      <c r="K974" t="s">
        <v>81</v>
      </c>
      <c r="L974">
        <v>5</v>
      </c>
      <c r="M974">
        <v>3600</v>
      </c>
      <c r="N974">
        <v>20</v>
      </c>
      <c r="O974">
        <v>404.16</v>
      </c>
    </row>
    <row r="975" spans="1:15" x14ac:dyDescent="0.3">
      <c r="A975" t="s">
        <v>1414</v>
      </c>
      <c r="B975" t="s">
        <v>745</v>
      </c>
      <c r="C975" t="s">
        <v>648</v>
      </c>
      <c r="D975" t="s">
        <v>39</v>
      </c>
      <c r="E975" t="s">
        <v>119</v>
      </c>
      <c r="F975" t="s">
        <v>31</v>
      </c>
      <c r="G975" t="s">
        <v>120</v>
      </c>
      <c r="H975" t="s">
        <v>40</v>
      </c>
      <c r="I975" t="s">
        <v>41</v>
      </c>
      <c r="J975" t="s">
        <v>42</v>
      </c>
      <c r="K975" t="s">
        <v>62</v>
      </c>
      <c r="L975">
        <v>4</v>
      </c>
      <c r="M975">
        <v>32300</v>
      </c>
      <c r="N975">
        <v>5</v>
      </c>
      <c r="O975">
        <v>6124.71</v>
      </c>
    </row>
    <row r="976" spans="1:15" x14ac:dyDescent="0.3">
      <c r="A976" t="s">
        <v>1415</v>
      </c>
      <c r="B976" t="s">
        <v>158</v>
      </c>
      <c r="C976" t="s">
        <v>329</v>
      </c>
      <c r="D976" t="s">
        <v>55</v>
      </c>
      <c r="E976" t="s">
        <v>106</v>
      </c>
      <c r="F976" t="s">
        <v>20</v>
      </c>
      <c r="G976" t="s">
        <v>49</v>
      </c>
      <c r="H976" t="s">
        <v>59</v>
      </c>
      <c r="I976" t="s">
        <v>93</v>
      </c>
      <c r="J976" t="s">
        <v>94</v>
      </c>
      <c r="K976" t="s">
        <v>62</v>
      </c>
      <c r="L976">
        <v>3</v>
      </c>
      <c r="M976">
        <v>6270</v>
      </c>
      <c r="N976">
        <v>5</v>
      </c>
      <c r="O976">
        <v>1281.54</v>
      </c>
    </row>
    <row r="977" spans="1:15" x14ac:dyDescent="0.3">
      <c r="A977" t="s">
        <v>1416</v>
      </c>
      <c r="B977" t="s">
        <v>515</v>
      </c>
      <c r="C977" t="s">
        <v>738</v>
      </c>
      <c r="D977" t="s">
        <v>80</v>
      </c>
      <c r="E977" t="s">
        <v>48</v>
      </c>
      <c r="F977" t="s">
        <v>20</v>
      </c>
      <c r="G977" t="s">
        <v>49</v>
      </c>
      <c r="H977" t="s">
        <v>40</v>
      </c>
      <c r="I977" t="s">
        <v>41</v>
      </c>
      <c r="J977" t="s">
        <v>42</v>
      </c>
      <c r="K977" t="s">
        <v>25</v>
      </c>
      <c r="L977">
        <v>3</v>
      </c>
      <c r="M977">
        <v>3600</v>
      </c>
      <c r="N977">
        <v>20</v>
      </c>
      <c r="O977">
        <v>289.48</v>
      </c>
    </row>
    <row r="978" spans="1:15" x14ac:dyDescent="0.3">
      <c r="A978" t="s">
        <v>1417</v>
      </c>
      <c r="B978" t="s">
        <v>71</v>
      </c>
      <c r="C978" t="s">
        <v>320</v>
      </c>
      <c r="D978" t="s">
        <v>47</v>
      </c>
      <c r="E978" t="s">
        <v>30</v>
      </c>
      <c r="F978" t="s">
        <v>31</v>
      </c>
      <c r="G978" t="s">
        <v>32</v>
      </c>
      <c r="H978" t="s">
        <v>59</v>
      </c>
      <c r="I978" t="s">
        <v>60</v>
      </c>
      <c r="J978" t="s">
        <v>61</v>
      </c>
      <c r="K978" t="s">
        <v>25</v>
      </c>
      <c r="L978">
        <v>5</v>
      </c>
      <c r="M978">
        <v>29250</v>
      </c>
      <c r="N978">
        <v>10</v>
      </c>
      <c r="O978">
        <v>5436.41</v>
      </c>
    </row>
    <row r="979" spans="1:15" x14ac:dyDescent="0.3">
      <c r="A979" t="s">
        <v>1418</v>
      </c>
      <c r="B979" t="s">
        <v>189</v>
      </c>
      <c r="C979" t="s">
        <v>340</v>
      </c>
      <c r="D979" t="s">
        <v>18</v>
      </c>
      <c r="E979" t="s">
        <v>66</v>
      </c>
      <c r="F979" t="s">
        <v>20</v>
      </c>
      <c r="G979" t="s">
        <v>67</v>
      </c>
      <c r="H979" t="s">
        <v>22</v>
      </c>
      <c r="I979" t="s">
        <v>155</v>
      </c>
      <c r="J979" t="s">
        <v>156</v>
      </c>
      <c r="K979" t="s">
        <v>81</v>
      </c>
      <c r="L979">
        <v>4</v>
      </c>
      <c r="M979">
        <v>48000</v>
      </c>
      <c r="N979">
        <v>0</v>
      </c>
      <c r="O979">
        <v>4703.99</v>
      </c>
    </row>
    <row r="980" spans="1:15" x14ac:dyDescent="0.3">
      <c r="A980" t="s">
        <v>1419</v>
      </c>
      <c r="B980" t="s">
        <v>372</v>
      </c>
      <c r="C980" t="s">
        <v>394</v>
      </c>
      <c r="D980" t="s">
        <v>85</v>
      </c>
      <c r="E980" t="s">
        <v>89</v>
      </c>
      <c r="F980" t="s">
        <v>20</v>
      </c>
      <c r="G980" t="s">
        <v>49</v>
      </c>
      <c r="H980" t="s">
        <v>33</v>
      </c>
      <c r="I980" t="s">
        <v>68</v>
      </c>
      <c r="J980" t="s">
        <v>69</v>
      </c>
      <c r="K980" t="s">
        <v>81</v>
      </c>
      <c r="L980">
        <v>2</v>
      </c>
      <c r="M980">
        <v>1530</v>
      </c>
      <c r="N980">
        <v>15</v>
      </c>
      <c r="O980">
        <v>243.42</v>
      </c>
    </row>
    <row r="981" spans="1:15" x14ac:dyDescent="0.3">
      <c r="A981" t="s">
        <v>1420</v>
      </c>
      <c r="B981" t="s">
        <v>338</v>
      </c>
      <c r="C981" t="s">
        <v>171</v>
      </c>
      <c r="D981" t="s">
        <v>18</v>
      </c>
      <c r="E981" t="s">
        <v>48</v>
      </c>
      <c r="F981" t="s">
        <v>20</v>
      </c>
      <c r="G981" t="s">
        <v>49</v>
      </c>
      <c r="H981" t="s">
        <v>22</v>
      </c>
      <c r="I981" t="s">
        <v>23</v>
      </c>
      <c r="J981" t="s">
        <v>24</v>
      </c>
      <c r="K981" t="s">
        <v>62</v>
      </c>
      <c r="L981">
        <v>3</v>
      </c>
      <c r="M981">
        <v>4500</v>
      </c>
      <c r="N981">
        <v>0</v>
      </c>
      <c r="O981">
        <v>590.89</v>
      </c>
    </row>
    <row r="982" spans="1:15" x14ac:dyDescent="0.3">
      <c r="A982" t="s">
        <v>1421</v>
      </c>
      <c r="B982" t="s">
        <v>831</v>
      </c>
      <c r="C982" t="s">
        <v>621</v>
      </c>
      <c r="D982" t="s">
        <v>73</v>
      </c>
      <c r="E982" t="s">
        <v>89</v>
      </c>
      <c r="F982" t="s">
        <v>20</v>
      </c>
      <c r="G982" t="s">
        <v>49</v>
      </c>
      <c r="H982" t="s">
        <v>33</v>
      </c>
      <c r="I982" t="s">
        <v>34</v>
      </c>
      <c r="J982" t="s">
        <v>35</v>
      </c>
      <c r="K982" t="s">
        <v>25</v>
      </c>
      <c r="L982">
        <v>2</v>
      </c>
      <c r="M982">
        <v>1620</v>
      </c>
      <c r="N982">
        <v>10</v>
      </c>
      <c r="O982">
        <v>186.94</v>
      </c>
    </row>
    <row r="983" spans="1:15" x14ac:dyDescent="0.3">
      <c r="A983" t="s">
        <v>1422</v>
      </c>
      <c r="B983" t="s">
        <v>198</v>
      </c>
      <c r="C983" t="s">
        <v>191</v>
      </c>
      <c r="D983" t="s">
        <v>55</v>
      </c>
      <c r="E983" t="s">
        <v>106</v>
      </c>
      <c r="F983" t="s">
        <v>20</v>
      </c>
      <c r="G983" t="s">
        <v>49</v>
      </c>
      <c r="H983" t="s">
        <v>33</v>
      </c>
      <c r="I983" t="s">
        <v>68</v>
      </c>
      <c r="J983" t="s">
        <v>133</v>
      </c>
      <c r="K983" t="s">
        <v>43</v>
      </c>
      <c r="L983">
        <v>5</v>
      </c>
      <c r="M983">
        <v>9900</v>
      </c>
      <c r="N983">
        <v>10</v>
      </c>
      <c r="O983">
        <v>1250.72</v>
      </c>
    </row>
    <row r="984" spans="1:15" x14ac:dyDescent="0.3">
      <c r="A984" t="s">
        <v>1423</v>
      </c>
      <c r="B984" t="s">
        <v>148</v>
      </c>
      <c r="C984" t="s">
        <v>129</v>
      </c>
      <c r="D984" t="s">
        <v>29</v>
      </c>
      <c r="E984" t="s">
        <v>19</v>
      </c>
      <c r="F984" t="s">
        <v>20</v>
      </c>
      <c r="G984" t="s">
        <v>21</v>
      </c>
      <c r="H984" t="s">
        <v>33</v>
      </c>
      <c r="I984" t="s">
        <v>68</v>
      </c>
      <c r="J984" t="s">
        <v>133</v>
      </c>
      <c r="K984" t="s">
        <v>62</v>
      </c>
      <c r="L984">
        <v>2</v>
      </c>
      <c r="M984">
        <v>88000</v>
      </c>
      <c r="N984">
        <v>20</v>
      </c>
      <c r="O984">
        <v>13356.49</v>
      </c>
    </row>
    <row r="985" spans="1:15" x14ac:dyDescent="0.3">
      <c r="A985" t="s">
        <v>1424</v>
      </c>
      <c r="B985" t="s">
        <v>333</v>
      </c>
      <c r="C985" t="s">
        <v>76</v>
      </c>
      <c r="D985" t="s">
        <v>80</v>
      </c>
      <c r="E985" t="s">
        <v>106</v>
      </c>
      <c r="F985" t="s">
        <v>20</v>
      </c>
      <c r="G985" t="s">
        <v>49</v>
      </c>
      <c r="H985" t="s">
        <v>22</v>
      </c>
      <c r="I985" t="s">
        <v>23</v>
      </c>
      <c r="J985" t="s">
        <v>24</v>
      </c>
      <c r="K985" t="s">
        <v>62</v>
      </c>
      <c r="L985">
        <v>5</v>
      </c>
      <c r="M985">
        <v>11000</v>
      </c>
      <c r="N985">
        <v>0</v>
      </c>
      <c r="O985">
        <v>1883.27</v>
      </c>
    </row>
    <row r="986" spans="1:15" x14ac:dyDescent="0.3">
      <c r="A986" t="s">
        <v>1425</v>
      </c>
      <c r="B986" t="s">
        <v>1426</v>
      </c>
      <c r="C986" t="s">
        <v>455</v>
      </c>
      <c r="D986" t="s">
        <v>47</v>
      </c>
      <c r="E986" t="s">
        <v>30</v>
      </c>
      <c r="F986" t="s">
        <v>31</v>
      </c>
      <c r="G986" t="s">
        <v>32</v>
      </c>
      <c r="H986" t="s">
        <v>22</v>
      </c>
      <c r="I986" t="s">
        <v>155</v>
      </c>
      <c r="J986" t="s">
        <v>156</v>
      </c>
      <c r="K986" t="s">
        <v>43</v>
      </c>
      <c r="L986">
        <v>4</v>
      </c>
      <c r="M986">
        <v>22100</v>
      </c>
      <c r="N986">
        <v>15</v>
      </c>
      <c r="O986">
        <v>2525.09</v>
      </c>
    </row>
    <row r="987" spans="1:15" x14ac:dyDescent="0.3">
      <c r="A987" t="s">
        <v>1427</v>
      </c>
      <c r="B987" t="s">
        <v>1307</v>
      </c>
      <c r="C987" t="s">
        <v>164</v>
      </c>
      <c r="D987" t="s">
        <v>85</v>
      </c>
      <c r="E987" t="s">
        <v>56</v>
      </c>
      <c r="F987" t="s">
        <v>57</v>
      </c>
      <c r="G987" t="s">
        <v>58</v>
      </c>
      <c r="H987" t="s">
        <v>40</v>
      </c>
      <c r="I987" t="s">
        <v>41</v>
      </c>
      <c r="J987" t="s">
        <v>42</v>
      </c>
      <c r="K987" t="s">
        <v>62</v>
      </c>
      <c r="L987">
        <v>1</v>
      </c>
      <c r="M987">
        <v>297.5</v>
      </c>
      <c r="N987">
        <v>15</v>
      </c>
      <c r="O987">
        <v>56.11</v>
      </c>
    </row>
    <row r="988" spans="1:15" x14ac:dyDescent="0.3">
      <c r="A988" t="s">
        <v>1428</v>
      </c>
      <c r="B988" t="s">
        <v>566</v>
      </c>
      <c r="C988" t="s">
        <v>1338</v>
      </c>
      <c r="D988" t="s">
        <v>80</v>
      </c>
      <c r="E988" t="s">
        <v>89</v>
      </c>
      <c r="F988" t="s">
        <v>20</v>
      </c>
      <c r="G988" t="s">
        <v>49</v>
      </c>
      <c r="H988" t="s">
        <v>22</v>
      </c>
      <c r="I988" t="s">
        <v>23</v>
      </c>
      <c r="J988" t="s">
        <v>24</v>
      </c>
      <c r="K988" t="s">
        <v>25</v>
      </c>
      <c r="L988">
        <v>2</v>
      </c>
      <c r="M988">
        <v>1530</v>
      </c>
      <c r="N988">
        <v>15</v>
      </c>
      <c r="O988">
        <v>194.32</v>
      </c>
    </row>
    <row r="989" spans="1:15" x14ac:dyDescent="0.3">
      <c r="A989" t="s">
        <v>1429</v>
      </c>
      <c r="B989" t="s">
        <v>334</v>
      </c>
      <c r="C989" t="s">
        <v>1203</v>
      </c>
      <c r="D989" t="s">
        <v>80</v>
      </c>
      <c r="E989" t="s">
        <v>89</v>
      </c>
      <c r="F989" t="s">
        <v>20</v>
      </c>
      <c r="G989" t="s">
        <v>49</v>
      </c>
      <c r="H989" t="s">
        <v>22</v>
      </c>
      <c r="I989" t="s">
        <v>23</v>
      </c>
      <c r="J989" t="s">
        <v>24</v>
      </c>
      <c r="K989" t="s">
        <v>62</v>
      </c>
      <c r="L989">
        <v>5</v>
      </c>
      <c r="M989">
        <v>4275</v>
      </c>
      <c r="N989">
        <v>5</v>
      </c>
      <c r="O989">
        <v>822.35</v>
      </c>
    </row>
    <row r="990" spans="1:15" x14ac:dyDescent="0.3">
      <c r="A990" t="s">
        <v>1430</v>
      </c>
      <c r="B990" t="s">
        <v>460</v>
      </c>
      <c r="C990" t="s">
        <v>421</v>
      </c>
      <c r="D990" t="s">
        <v>80</v>
      </c>
      <c r="E990" t="s">
        <v>30</v>
      </c>
      <c r="F990" t="s">
        <v>31</v>
      </c>
      <c r="G990" t="s">
        <v>32</v>
      </c>
      <c r="H990" t="s">
        <v>59</v>
      </c>
      <c r="I990" t="s">
        <v>60</v>
      </c>
      <c r="J990" t="s">
        <v>61</v>
      </c>
      <c r="K990" t="s">
        <v>25</v>
      </c>
      <c r="L990">
        <v>4</v>
      </c>
      <c r="M990">
        <v>24700</v>
      </c>
      <c r="N990">
        <v>5</v>
      </c>
      <c r="O990">
        <v>2820.36</v>
      </c>
    </row>
    <row r="991" spans="1:15" x14ac:dyDescent="0.3">
      <c r="A991" t="s">
        <v>1431</v>
      </c>
      <c r="B991" t="s">
        <v>226</v>
      </c>
      <c r="C991" t="s">
        <v>144</v>
      </c>
      <c r="D991" t="s">
        <v>85</v>
      </c>
      <c r="E991" t="s">
        <v>19</v>
      </c>
      <c r="F991" t="s">
        <v>20</v>
      </c>
      <c r="G991" t="s">
        <v>21</v>
      </c>
      <c r="H991" t="s">
        <v>40</v>
      </c>
      <c r="I991" t="s">
        <v>41</v>
      </c>
      <c r="J991" t="s">
        <v>42</v>
      </c>
      <c r="K991" t="s">
        <v>81</v>
      </c>
      <c r="L991">
        <v>2</v>
      </c>
      <c r="M991">
        <v>88000</v>
      </c>
      <c r="N991">
        <v>20</v>
      </c>
      <c r="O991">
        <v>10082.91</v>
      </c>
    </row>
    <row r="992" spans="1:15" x14ac:dyDescent="0.3">
      <c r="A992" t="s">
        <v>1432</v>
      </c>
      <c r="B992" t="s">
        <v>139</v>
      </c>
      <c r="C992" t="s">
        <v>404</v>
      </c>
      <c r="D992" t="s">
        <v>73</v>
      </c>
      <c r="E992" t="s">
        <v>113</v>
      </c>
      <c r="F992" t="s">
        <v>114</v>
      </c>
      <c r="G992" t="s">
        <v>115</v>
      </c>
      <c r="H992" t="s">
        <v>22</v>
      </c>
      <c r="I992" t="s">
        <v>155</v>
      </c>
      <c r="J992" t="s">
        <v>156</v>
      </c>
      <c r="K992" t="s">
        <v>25</v>
      </c>
      <c r="L992">
        <v>2</v>
      </c>
      <c r="M992">
        <v>3240</v>
      </c>
      <c r="N992">
        <v>10</v>
      </c>
      <c r="O992">
        <v>620.21</v>
      </c>
    </row>
    <row r="993" spans="1:15" x14ac:dyDescent="0.3">
      <c r="A993" t="s">
        <v>1433</v>
      </c>
      <c r="B993" t="s">
        <v>209</v>
      </c>
      <c r="C993" t="s">
        <v>312</v>
      </c>
      <c r="D993" t="s">
        <v>73</v>
      </c>
      <c r="E993" t="s">
        <v>66</v>
      </c>
      <c r="F993" t="s">
        <v>20</v>
      </c>
      <c r="G993" t="s">
        <v>67</v>
      </c>
      <c r="H993" t="s">
        <v>22</v>
      </c>
      <c r="I993" t="s">
        <v>155</v>
      </c>
      <c r="J993" t="s">
        <v>156</v>
      </c>
      <c r="K993" t="s">
        <v>62</v>
      </c>
      <c r="L993">
        <v>5</v>
      </c>
      <c r="M993">
        <v>60000</v>
      </c>
      <c r="N993">
        <v>0</v>
      </c>
      <c r="O993">
        <v>9192.8700000000008</v>
      </c>
    </row>
    <row r="994" spans="1:15" x14ac:dyDescent="0.3">
      <c r="A994" t="s">
        <v>1434</v>
      </c>
      <c r="B994" t="s">
        <v>192</v>
      </c>
      <c r="C994" t="s">
        <v>679</v>
      </c>
      <c r="D994" t="s">
        <v>47</v>
      </c>
      <c r="E994" t="s">
        <v>30</v>
      </c>
      <c r="F994" t="s">
        <v>31</v>
      </c>
      <c r="G994" t="s">
        <v>32</v>
      </c>
      <c r="H994" t="s">
        <v>33</v>
      </c>
      <c r="I994" t="s">
        <v>34</v>
      </c>
      <c r="J994" t="s">
        <v>35</v>
      </c>
      <c r="K994" t="s">
        <v>25</v>
      </c>
      <c r="L994">
        <v>1</v>
      </c>
      <c r="M994">
        <v>5850</v>
      </c>
      <c r="N994">
        <v>10</v>
      </c>
      <c r="O994">
        <v>529.62</v>
      </c>
    </row>
    <row r="995" spans="1:15" x14ac:dyDescent="0.3">
      <c r="A995" t="s">
        <v>1435</v>
      </c>
      <c r="B995" t="s">
        <v>600</v>
      </c>
      <c r="C995" t="s">
        <v>122</v>
      </c>
      <c r="D995" t="s">
        <v>55</v>
      </c>
      <c r="E995" t="s">
        <v>30</v>
      </c>
      <c r="F995" t="s">
        <v>31</v>
      </c>
      <c r="G995" t="s">
        <v>32</v>
      </c>
      <c r="H995" t="s">
        <v>59</v>
      </c>
      <c r="I995" t="s">
        <v>93</v>
      </c>
      <c r="J995" t="s">
        <v>94</v>
      </c>
      <c r="K995" t="s">
        <v>62</v>
      </c>
      <c r="L995">
        <v>4</v>
      </c>
      <c r="M995">
        <v>24700</v>
      </c>
      <c r="N995">
        <v>5</v>
      </c>
      <c r="O995">
        <v>5066.88</v>
      </c>
    </row>
    <row r="996" spans="1:15" x14ac:dyDescent="0.3">
      <c r="A996" t="s">
        <v>1436</v>
      </c>
      <c r="B996" t="s">
        <v>396</v>
      </c>
      <c r="C996" t="s">
        <v>314</v>
      </c>
      <c r="D996" t="s">
        <v>98</v>
      </c>
      <c r="E996" t="s">
        <v>56</v>
      </c>
      <c r="F996" t="s">
        <v>57</v>
      </c>
      <c r="G996" t="s">
        <v>58</v>
      </c>
      <c r="H996" t="s">
        <v>59</v>
      </c>
      <c r="I996" t="s">
        <v>60</v>
      </c>
      <c r="J996" t="s">
        <v>61</v>
      </c>
      <c r="K996" t="s">
        <v>43</v>
      </c>
      <c r="L996">
        <v>2</v>
      </c>
      <c r="M996">
        <v>560</v>
      </c>
      <c r="N996">
        <v>20</v>
      </c>
      <c r="O996">
        <v>79.06</v>
      </c>
    </row>
    <row r="997" spans="1:15" x14ac:dyDescent="0.3">
      <c r="A997" t="s">
        <v>1437</v>
      </c>
      <c r="B997" t="s">
        <v>631</v>
      </c>
      <c r="C997" t="s">
        <v>267</v>
      </c>
      <c r="D997" t="s">
        <v>80</v>
      </c>
      <c r="E997" t="s">
        <v>89</v>
      </c>
      <c r="F997" t="s">
        <v>20</v>
      </c>
      <c r="G997" t="s">
        <v>49</v>
      </c>
      <c r="H997" t="s">
        <v>33</v>
      </c>
      <c r="I997" t="s">
        <v>34</v>
      </c>
      <c r="J997" t="s">
        <v>35</v>
      </c>
      <c r="K997" t="s">
        <v>81</v>
      </c>
      <c r="L997">
        <v>1</v>
      </c>
      <c r="M997">
        <v>855</v>
      </c>
      <c r="N997">
        <v>5</v>
      </c>
      <c r="O997">
        <v>175.23</v>
      </c>
    </row>
    <row r="998" spans="1:15" x14ac:dyDescent="0.3">
      <c r="A998" t="s">
        <v>1438</v>
      </c>
      <c r="B998" t="s">
        <v>378</v>
      </c>
      <c r="C998" t="s">
        <v>231</v>
      </c>
      <c r="D998" t="s">
        <v>85</v>
      </c>
      <c r="E998" t="s">
        <v>119</v>
      </c>
      <c r="F998" t="s">
        <v>31</v>
      </c>
      <c r="G998" t="s">
        <v>120</v>
      </c>
      <c r="H998" t="s">
        <v>40</v>
      </c>
      <c r="I998" t="s">
        <v>50</v>
      </c>
      <c r="J998" t="s">
        <v>51</v>
      </c>
      <c r="K998" t="s">
        <v>62</v>
      </c>
      <c r="L998">
        <v>2</v>
      </c>
      <c r="M998">
        <v>14450</v>
      </c>
      <c r="N998">
        <v>15</v>
      </c>
      <c r="O998">
        <v>3080.09</v>
      </c>
    </row>
    <row r="999" spans="1:15" x14ac:dyDescent="0.3">
      <c r="A999" t="s">
        <v>1439</v>
      </c>
      <c r="B999" t="s">
        <v>328</v>
      </c>
      <c r="C999" t="s">
        <v>377</v>
      </c>
      <c r="D999" t="s">
        <v>29</v>
      </c>
      <c r="E999" t="s">
        <v>56</v>
      </c>
      <c r="F999" t="s">
        <v>57</v>
      </c>
      <c r="G999" t="s">
        <v>58</v>
      </c>
      <c r="H999" t="s">
        <v>40</v>
      </c>
      <c r="I999" t="s">
        <v>41</v>
      </c>
      <c r="J999" t="s">
        <v>42</v>
      </c>
      <c r="K999" t="s">
        <v>81</v>
      </c>
      <c r="L999">
        <v>2</v>
      </c>
      <c r="M999">
        <v>665</v>
      </c>
      <c r="N999">
        <v>5</v>
      </c>
      <c r="O999">
        <v>123.83</v>
      </c>
    </row>
    <row r="1000" spans="1:15" x14ac:dyDescent="0.3">
      <c r="A1000" t="s">
        <v>1440</v>
      </c>
      <c r="B1000" t="s">
        <v>572</v>
      </c>
      <c r="C1000" t="s">
        <v>674</v>
      </c>
      <c r="D1000" t="s">
        <v>55</v>
      </c>
      <c r="E1000" t="s">
        <v>89</v>
      </c>
      <c r="F1000" t="s">
        <v>20</v>
      </c>
      <c r="G1000" t="s">
        <v>49</v>
      </c>
      <c r="H1000" t="s">
        <v>40</v>
      </c>
      <c r="I1000" t="s">
        <v>50</v>
      </c>
      <c r="J1000" t="s">
        <v>51</v>
      </c>
      <c r="K1000" t="s">
        <v>62</v>
      </c>
      <c r="L1000">
        <v>2</v>
      </c>
      <c r="M1000">
        <v>1530</v>
      </c>
      <c r="N1000">
        <v>15</v>
      </c>
      <c r="O1000">
        <v>311.74</v>
      </c>
    </row>
    <row r="1001" spans="1:15" x14ac:dyDescent="0.3">
      <c r="A1001" t="s">
        <v>1441</v>
      </c>
      <c r="B1001" t="s">
        <v>562</v>
      </c>
      <c r="C1001" t="s">
        <v>191</v>
      </c>
      <c r="D1001" t="s">
        <v>39</v>
      </c>
      <c r="E1001" t="s">
        <v>19</v>
      </c>
      <c r="F1001" t="s">
        <v>20</v>
      </c>
      <c r="G1001" t="s">
        <v>21</v>
      </c>
      <c r="H1001" t="s">
        <v>22</v>
      </c>
      <c r="I1001" t="s">
        <v>155</v>
      </c>
      <c r="J1001" t="s">
        <v>156</v>
      </c>
      <c r="K1001" t="s">
        <v>43</v>
      </c>
      <c r="L1001">
        <v>4</v>
      </c>
      <c r="M1001">
        <v>187000</v>
      </c>
      <c r="N1001">
        <v>15</v>
      </c>
      <c r="O1001">
        <v>25306.41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41CC-40A9-4C1A-B054-3CA16CC865F4}">
  <dimension ref="A2:T25"/>
  <sheetViews>
    <sheetView tabSelected="1" topLeftCell="A2" zoomScale="70" workbookViewId="0">
      <selection activeCell="H7" sqref="A1:XFD1048576"/>
    </sheetView>
  </sheetViews>
  <sheetFormatPr defaultRowHeight="23.4" x14ac:dyDescent="0.45"/>
  <cols>
    <col min="1" max="1" width="9.88671875" style="5" customWidth="1"/>
    <col min="2" max="2" width="20.109375" style="5" bestFit="1" customWidth="1"/>
    <col min="3" max="3" width="8.33203125" style="5" customWidth="1"/>
    <col min="4" max="5" width="8.88671875" style="5"/>
    <col min="6" max="6" width="21.6640625" style="7" bestFit="1" customWidth="1"/>
    <col min="7" max="7" width="8.88671875" style="5"/>
    <col min="8" max="8" width="8.88671875" style="5" customWidth="1"/>
    <col min="9" max="9" width="8.88671875" style="5"/>
    <col min="10" max="10" width="22.6640625" style="5" bestFit="1" customWidth="1"/>
    <col min="11" max="13" width="8.88671875" style="5"/>
    <col min="14" max="14" width="23.88671875" style="5" bestFit="1" customWidth="1"/>
    <col min="15" max="15" width="8.88671875" style="5"/>
    <col min="16" max="16" width="14" style="5" bestFit="1" customWidth="1"/>
    <col min="17" max="16384" width="8.88671875" style="5"/>
  </cols>
  <sheetData>
    <row r="2" spans="1:20" ht="28.8" customHeight="1" x14ac:dyDescent="0.6">
      <c r="A2" s="4" t="s">
        <v>1442</v>
      </c>
      <c r="B2" s="4"/>
      <c r="C2" s="4"/>
      <c r="D2" s="4"/>
      <c r="E2" s="4"/>
      <c r="F2" s="4"/>
      <c r="G2" s="4"/>
      <c r="H2" s="4"/>
      <c r="I2" s="4"/>
      <c r="J2" s="4"/>
      <c r="K2" s="4"/>
      <c r="L2" s="4"/>
      <c r="M2" s="4"/>
      <c r="N2" s="4"/>
      <c r="O2" s="4"/>
      <c r="P2" s="4"/>
      <c r="Q2" s="4"/>
      <c r="R2" s="4"/>
      <c r="S2" s="4"/>
      <c r="T2" s="4"/>
    </row>
    <row r="4" spans="1:20" x14ac:dyDescent="0.45">
      <c r="B4" s="6" t="s">
        <v>1443</v>
      </c>
      <c r="F4" s="6" t="s">
        <v>1444</v>
      </c>
      <c r="J4" s="6" t="s">
        <v>1445</v>
      </c>
      <c r="N4" s="6" t="s">
        <v>1446</v>
      </c>
      <c r="P4" s="7"/>
    </row>
    <row r="5" spans="1:20" ht="18" x14ac:dyDescent="0.35">
      <c r="B5" s="8">
        <f>SUM(AmazonSales[Sales])</f>
        <v>25640897.5</v>
      </c>
      <c r="F5" s="9">
        <f>SUM(AmazonSales[Profit])</f>
        <v>3730415.9000000008</v>
      </c>
      <c r="J5" s="10">
        <f>COUNTA(AmazonSales[Order ID])</f>
        <v>1000</v>
      </c>
      <c r="N5" s="9">
        <f>AVERAGE(AmazonSales[Sales])</f>
        <v>25640.897499999999</v>
      </c>
    </row>
    <row r="25" spans="9:9" x14ac:dyDescent="0.45">
      <c r="I25" s="5">
        <v>7</v>
      </c>
    </row>
  </sheetData>
  <mergeCells count="1">
    <mergeCell ref="A2: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Sheet1</vt:lpstr>
      <vt:lpstr>AmazonSales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Prem Chaudhari</cp:lastModifiedBy>
  <dcterms:created xsi:type="dcterms:W3CDTF">2026-07-07T14:28:25Z</dcterms:created>
  <dcterms:modified xsi:type="dcterms:W3CDTF">2026-07-09T07:00:45Z</dcterms:modified>
</cp:coreProperties>
</file>